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idfs\生產辦\2026\DATA UNTUK SYSTEM\DEMO\"/>
    </mc:Choice>
  </mc:AlternateContent>
  <xr:revisionPtr revIDLastSave="0" documentId="13_ncr:1_{4F5ADD81-B05C-407A-8DDF-5A5AF56946D9}" xr6:coauthVersionLast="47" xr6:coauthVersionMax="47" xr10:uidLastSave="{00000000-0000-0000-0000-000000000000}"/>
  <bookViews>
    <workbookView xWindow="-120" yWindow="-120" windowWidth="29040" windowHeight="15720" xr2:uid="{328660BD-3261-4F4F-A015-AE3A0C939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9" i="1"/>
  <c r="E7" i="1"/>
  <c r="E6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PO03</author>
  </authors>
  <commentList>
    <comment ref="B4" authorId="0" shapeId="0" xr:uid="{2920ECDF-B249-49E0-A320-03820A7CC5EB}">
      <text>
        <r>
          <rPr>
            <b/>
            <sz val="9"/>
            <color indexed="81"/>
            <rFont val="Tahoma"/>
            <family val="2"/>
          </rPr>
          <t>block warna kuning, kimia yg harus di simpan pas audit</t>
        </r>
      </text>
    </comment>
  </commentList>
</comments>
</file>

<file path=xl/sharedStrings.xml><?xml version="1.0" encoding="utf-8"?>
<sst xmlns="http://schemas.openxmlformats.org/spreadsheetml/2006/main" count="56" uniqueCount="34">
  <si>
    <t>品名 NAME</t>
  </si>
  <si>
    <t>編號 KODE</t>
  </si>
  <si>
    <t>化料種類 JENIS</t>
  </si>
  <si>
    <t>供應商  SUPLIER</t>
  </si>
  <si>
    <t>JU-1047</t>
  </si>
  <si>
    <t>A</t>
  </si>
  <si>
    <t>PU Resin</t>
  </si>
  <si>
    <t>聚益Jiuh yi</t>
  </si>
  <si>
    <t>數量 JUMLAH</t>
  </si>
  <si>
    <t>PRICE</t>
  </si>
  <si>
    <t>TOTAL AMOUNT</t>
  </si>
  <si>
    <t>MEK (998)</t>
  </si>
  <si>
    <t>C</t>
  </si>
  <si>
    <t>Auxiliary</t>
  </si>
  <si>
    <t>INDO CHEMICAL</t>
  </si>
  <si>
    <t xml:space="preserve">DMF (996) </t>
  </si>
  <si>
    <t>ANUGRAH PUTRA KENCANA</t>
  </si>
  <si>
    <t>NS-309 YELLOWISH BROWN</t>
  </si>
  <si>
    <t>B</t>
  </si>
  <si>
    <t>Pigment</t>
  </si>
  <si>
    <t>深圳颜宝 SHENZHEN</t>
  </si>
  <si>
    <t>GREEN 9K299</t>
  </si>
  <si>
    <t>大恭Da Gong</t>
  </si>
  <si>
    <t>UT BLACK C YR-E</t>
  </si>
  <si>
    <t>富慶Fuqing</t>
  </si>
  <si>
    <t>NS-180 WHITE</t>
  </si>
  <si>
    <t>JWS-3590G</t>
  </si>
  <si>
    <t>DJ-88</t>
  </si>
  <si>
    <t>浙江羅星Zhejiang</t>
  </si>
  <si>
    <t>SYN-REX BIANCO LED</t>
  </si>
  <si>
    <t>慶鴻
Qinghong</t>
  </si>
  <si>
    <t>SYN-REX OCRA</t>
  </si>
  <si>
    <t>KH GREEN</t>
  </si>
  <si>
    <t>KEMASAN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</si>
</sst>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shrinkToFit="1"/>
    </xf>
    <xf numFmtId="0" fontId="3" fillId="3" borderId="2" xfId="0" applyFont="1" applyFill="1" applyBorder="1" applyAlignment="1">
      <alignment horizontal="center" vertical="center" wrapText="1" shrinkToFit="1"/>
    </xf>
    <xf numFmtId="0" fontId="3" fillId="3" borderId="3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43" fontId="0" fillId="0" borderId="1" xfId="1" applyFont="1" applyBorder="1"/>
    <xf numFmtId="0" fontId="0" fillId="0" borderId="1" xfId="0" applyBorder="1"/>
    <xf numFmtId="43" fontId="0" fillId="0" borderId="1" xfId="0" applyNumberFormat="1" applyBorder="1"/>
    <xf numFmtId="43" fontId="0" fillId="0" borderId="1" xfId="1" applyFont="1" applyBorder="1" applyAlignment="1">
      <alignment horizontal="right"/>
    </xf>
    <xf numFmtId="0" fontId="4" fillId="2" borderId="5" xfId="0" applyFont="1" applyFill="1" applyBorder="1" applyAlignment="1">
      <alignment horizontal="center" vertical="center" wrapText="1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26E1-2C3A-4030-BF16-9229D69A2A22}">
  <dimension ref="A4:H17"/>
  <sheetViews>
    <sheetView tabSelected="1" workbookViewId="0">
      <selection activeCell="F10" sqref="F10"/>
    </sheetView>
  </sheetViews>
  <sheetFormatPr defaultRowHeight="15" x14ac:dyDescent="0.25"/>
  <cols>
    <col min="1" max="1" width="28.5703125" bestFit="1" customWidth="1"/>
    <col min="2" max="2" width="9.42578125" bestFit="1" customWidth="1"/>
    <col min="3" max="3" width="12.85546875" bestFit="1" customWidth="1"/>
    <col min="4" max="4" width="23.7109375" customWidth="1"/>
    <col min="5" max="5" width="10" bestFit="1" customWidth="1"/>
    <col min="6" max="6" width="10.5703125" bestFit="1" customWidth="1"/>
    <col min="8" max="8" width="10.5703125" bestFit="1" customWidth="1"/>
  </cols>
  <sheetData>
    <row r="4" spans="1:8" ht="25.5" customHeight="1" x14ac:dyDescent="0.25">
      <c r="A4" s="1" t="s">
        <v>0</v>
      </c>
      <c r="B4" s="2" t="s">
        <v>1</v>
      </c>
      <c r="C4" s="3" t="s">
        <v>2</v>
      </c>
      <c r="D4" s="4" t="s">
        <v>3</v>
      </c>
      <c r="E4" s="10" t="s">
        <v>33</v>
      </c>
      <c r="F4" s="8" t="s">
        <v>8</v>
      </c>
      <c r="G4" s="8" t="s">
        <v>9</v>
      </c>
      <c r="H4" s="8" t="s">
        <v>10</v>
      </c>
    </row>
    <row r="5" spans="1:8" x14ac:dyDescent="0.25">
      <c r="A5" s="1"/>
      <c r="B5" s="2"/>
      <c r="C5" s="3"/>
      <c r="D5" s="10"/>
      <c r="E5" s="15"/>
      <c r="F5" s="9"/>
      <c r="G5" s="9"/>
      <c r="H5" s="9"/>
    </row>
    <row r="6" spans="1:8" ht="15.75" x14ac:dyDescent="0.25">
      <c r="A6" s="5" t="s">
        <v>4</v>
      </c>
      <c r="B6" s="6" t="s">
        <v>5</v>
      </c>
      <c r="C6" s="7" t="s">
        <v>6</v>
      </c>
      <c r="D6" s="7" t="s">
        <v>7</v>
      </c>
      <c r="E6" s="11">
        <f>F6/180</f>
        <v>11</v>
      </c>
      <c r="F6" s="11">
        <v>1980</v>
      </c>
      <c r="G6" s="12">
        <v>3.55</v>
      </c>
      <c r="H6" s="13">
        <f>F6*G6</f>
        <v>7029</v>
      </c>
    </row>
    <row r="7" spans="1:8" ht="15.75" x14ac:dyDescent="0.25">
      <c r="A7" s="5" t="s">
        <v>11</v>
      </c>
      <c r="B7" s="6" t="s">
        <v>12</v>
      </c>
      <c r="C7" s="7" t="s">
        <v>13</v>
      </c>
      <c r="D7" s="7" t="s">
        <v>14</v>
      </c>
      <c r="E7" s="11">
        <f>F7/165</f>
        <v>92</v>
      </c>
      <c r="F7" s="11">
        <v>15180</v>
      </c>
      <c r="G7" s="14">
        <v>2.424242424</v>
      </c>
      <c r="H7" s="13">
        <f>F7*G7</f>
        <v>36799.999996320003</v>
      </c>
    </row>
    <row r="8" spans="1:8" ht="15.75" x14ac:dyDescent="0.25">
      <c r="A8" s="5" t="s">
        <v>15</v>
      </c>
      <c r="B8" s="6" t="s">
        <v>12</v>
      </c>
      <c r="C8" s="7" t="s">
        <v>13</v>
      </c>
      <c r="D8" s="7" t="s">
        <v>16</v>
      </c>
      <c r="E8" s="11">
        <v>1</v>
      </c>
      <c r="F8" s="11">
        <v>190</v>
      </c>
      <c r="G8" s="14">
        <v>2.8248587569999999</v>
      </c>
      <c r="H8" s="13">
        <f>F8*G8</f>
        <v>536.72316382999998</v>
      </c>
    </row>
    <row r="9" spans="1:8" ht="15.75" x14ac:dyDescent="0.25">
      <c r="A9" s="5" t="s">
        <v>17</v>
      </c>
      <c r="B9" s="6" t="s">
        <v>18</v>
      </c>
      <c r="C9" s="7" t="s">
        <v>19</v>
      </c>
      <c r="D9" s="7" t="s">
        <v>20</v>
      </c>
      <c r="E9" s="11">
        <f>F9/25</f>
        <v>20</v>
      </c>
      <c r="F9" s="11">
        <v>500</v>
      </c>
      <c r="G9" s="14">
        <v>4.6500000000000004</v>
      </c>
      <c r="H9" s="13">
        <f>F9*G9</f>
        <v>2325</v>
      </c>
    </row>
    <row r="10" spans="1:8" ht="15.75" x14ac:dyDescent="0.25">
      <c r="A10" s="5" t="s">
        <v>21</v>
      </c>
      <c r="B10" s="6" t="s">
        <v>18</v>
      </c>
      <c r="C10" s="7" t="s">
        <v>19</v>
      </c>
      <c r="D10" s="7" t="s">
        <v>22</v>
      </c>
      <c r="E10" s="11">
        <v>2</v>
      </c>
      <c r="F10" s="11">
        <v>50</v>
      </c>
      <c r="G10" s="14">
        <v>15.73</v>
      </c>
      <c r="H10" s="13">
        <f>F10*G10</f>
        <v>786.5</v>
      </c>
    </row>
    <row r="11" spans="1:8" ht="15.75" x14ac:dyDescent="0.25">
      <c r="A11" s="5" t="s">
        <v>23</v>
      </c>
      <c r="B11" s="6" t="s">
        <v>18</v>
      </c>
      <c r="C11" s="7" t="s">
        <v>19</v>
      </c>
      <c r="D11" s="7" t="s">
        <v>24</v>
      </c>
      <c r="E11" s="11">
        <f>F11/30</f>
        <v>33</v>
      </c>
      <c r="F11" s="11">
        <v>990</v>
      </c>
      <c r="G11" s="14">
        <v>5.8</v>
      </c>
      <c r="H11" s="13">
        <f>F11*G11</f>
        <v>5742</v>
      </c>
    </row>
    <row r="12" spans="1:8" ht="15.75" x14ac:dyDescent="0.25">
      <c r="A12" s="5" t="s">
        <v>25</v>
      </c>
      <c r="B12" s="6" t="s">
        <v>18</v>
      </c>
      <c r="C12" s="7" t="s">
        <v>19</v>
      </c>
      <c r="D12" s="7" t="s">
        <v>20</v>
      </c>
      <c r="E12" s="11">
        <f>F12/25</f>
        <v>280</v>
      </c>
      <c r="F12" s="11">
        <v>7000</v>
      </c>
      <c r="G12" s="14">
        <v>5</v>
      </c>
      <c r="H12" s="13">
        <f>F12*G12</f>
        <v>35000</v>
      </c>
    </row>
    <row r="13" spans="1:8" ht="15.75" x14ac:dyDescent="0.25">
      <c r="A13" s="5" t="s">
        <v>26</v>
      </c>
      <c r="B13" s="6" t="s">
        <v>5</v>
      </c>
      <c r="C13" s="7" t="s">
        <v>6</v>
      </c>
      <c r="D13" s="7" t="s">
        <v>7</v>
      </c>
      <c r="E13" s="11">
        <f>F13/120</f>
        <v>13</v>
      </c>
      <c r="F13" s="11">
        <v>1560</v>
      </c>
      <c r="G13" s="14">
        <v>4.8</v>
      </c>
      <c r="H13" s="13">
        <f>F13*G13</f>
        <v>7488</v>
      </c>
    </row>
    <row r="14" spans="1:8" ht="15.75" x14ac:dyDescent="0.25">
      <c r="A14" s="5" t="s">
        <v>27</v>
      </c>
      <c r="B14" s="6" t="s">
        <v>5</v>
      </c>
      <c r="C14" s="7" t="s">
        <v>6</v>
      </c>
      <c r="D14" s="7" t="s">
        <v>28</v>
      </c>
      <c r="E14" s="11">
        <f>F14/180</f>
        <v>77</v>
      </c>
      <c r="F14" s="11">
        <v>13860</v>
      </c>
      <c r="G14" s="14">
        <v>5.3</v>
      </c>
      <c r="H14" s="13">
        <f>F14*G14</f>
        <v>73458</v>
      </c>
    </row>
    <row r="15" spans="1:8" ht="15.75" x14ac:dyDescent="0.25">
      <c r="A15" s="5" t="s">
        <v>29</v>
      </c>
      <c r="B15" s="6" t="s">
        <v>18</v>
      </c>
      <c r="C15" s="7" t="s">
        <v>19</v>
      </c>
      <c r="D15" s="7" t="s">
        <v>30</v>
      </c>
      <c r="E15" s="11">
        <f>F15/45</f>
        <v>111</v>
      </c>
      <c r="F15" s="11">
        <v>4995</v>
      </c>
      <c r="G15" s="14">
        <v>5.2</v>
      </c>
      <c r="H15" s="13">
        <f>F15*G15</f>
        <v>25974</v>
      </c>
    </row>
    <row r="16" spans="1:8" ht="15.75" x14ac:dyDescent="0.25">
      <c r="A16" s="5" t="s">
        <v>31</v>
      </c>
      <c r="B16" s="6" t="s">
        <v>18</v>
      </c>
      <c r="C16" s="7" t="s">
        <v>19</v>
      </c>
      <c r="D16" s="7" t="s">
        <v>30</v>
      </c>
      <c r="E16" s="11">
        <v>3</v>
      </c>
      <c r="F16" s="11">
        <v>210</v>
      </c>
      <c r="G16" s="14">
        <v>5.08</v>
      </c>
      <c r="H16" s="13">
        <f>F16*G16</f>
        <v>1066.8</v>
      </c>
    </row>
    <row r="17" spans="1:8" ht="15.75" x14ac:dyDescent="0.25">
      <c r="A17" s="5" t="s">
        <v>32</v>
      </c>
      <c r="B17" s="6" t="s">
        <v>18</v>
      </c>
      <c r="C17" s="7" t="s">
        <v>19</v>
      </c>
      <c r="D17" s="7" t="s">
        <v>24</v>
      </c>
      <c r="E17" s="11">
        <v>5</v>
      </c>
      <c r="F17" s="11">
        <v>150</v>
      </c>
      <c r="G17" s="14">
        <v>8.81</v>
      </c>
      <c r="H17" s="13">
        <f>F17*G17</f>
        <v>1321.5</v>
      </c>
    </row>
  </sheetData>
  <mergeCells count="8">
    <mergeCell ref="H4:H5"/>
    <mergeCell ref="E4:E5"/>
    <mergeCell ref="A4:A5"/>
    <mergeCell ref="B4:B5"/>
    <mergeCell ref="C4:C5"/>
    <mergeCell ref="D4:D5"/>
    <mergeCell ref="F4:F5"/>
    <mergeCell ref="G4:G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PO03</dc:creator>
  <cp:lastModifiedBy>PO03</cp:lastModifiedBy>
  <dcterms:created xsi:type="dcterms:W3CDTF">2026-08-18T08:55:50Z</dcterms:created>
  <dcterms:modified xsi:type="dcterms:W3CDTF">2026-08-18T09:05:50Z</dcterms:modified>
</cp:coreProperties>
</file>