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thidfs\業務室\ALL DATA MARKETING\2026\PRICE\NIKE\NIKE PRICE SEASON SPSU 27\"/>
    </mc:Choice>
  </mc:AlternateContent>
  <xr:revisionPtr revIDLastSave="0" documentId="8_{65D12D54-91B6-4676-92BA-EBDD75F4D601}" xr6:coauthVersionLast="47" xr6:coauthVersionMax="47" xr10:uidLastSave="{00000000-0000-0000-0000-000000000000}"/>
  <bookViews>
    <workbookView xWindow="-120" yWindow="-120" windowWidth="24240" windowHeight="13140" xr2:uid="{B33F2EF6-2705-43EA-84E8-3FD70EAB7379}"/>
  </bookViews>
  <sheets>
    <sheet name="JUL-DES 2026" sheetId="1" r:id="rId1"/>
  </sheets>
  <externalReferences>
    <externalReference r:id="rId2"/>
  </externalReferences>
  <definedNames>
    <definedName name="new_delivery_termLotInformation">[1]validationInfo!$A$1:$A$7</definedName>
    <definedName name="_xlnm.Print_Area" localSheetId="0">'JUL-DES 2026'!#REF!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0" i="1" l="1"/>
  <c r="L30" i="1"/>
  <c r="K30" i="1"/>
  <c r="J30" i="1"/>
  <c r="I30" i="1"/>
  <c r="U29" i="1"/>
  <c r="L29" i="1"/>
  <c r="K29" i="1"/>
  <c r="J29" i="1"/>
  <c r="I29" i="1"/>
  <c r="W28" i="1"/>
  <c r="V28" i="1"/>
  <c r="J28" i="1"/>
  <c r="I28" i="1"/>
  <c r="U27" i="1"/>
  <c r="L27" i="1"/>
  <c r="K27" i="1"/>
  <c r="J27" i="1"/>
  <c r="I27" i="1"/>
  <c r="U26" i="1"/>
  <c r="L26" i="1"/>
  <c r="K26" i="1"/>
  <c r="J26" i="1"/>
  <c r="I26" i="1"/>
  <c r="U25" i="1"/>
  <c r="L25" i="1"/>
  <c r="K25" i="1"/>
  <c r="J25" i="1"/>
  <c r="I25" i="1"/>
  <c r="U24" i="1"/>
  <c r="L24" i="1"/>
  <c r="K24" i="1"/>
  <c r="J24" i="1"/>
  <c r="I24" i="1"/>
  <c r="U23" i="1"/>
  <c r="L23" i="1"/>
  <c r="K23" i="1"/>
  <c r="J23" i="1"/>
  <c r="I23" i="1"/>
  <c r="U22" i="1"/>
  <c r="L22" i="1"/>
  <c r="K22" i="1"/>
  <c r="J22" i="1"/>
  <c r="I22" i="1"/>
  <c r="U21" i="1"/>
  <c r="J21" i="1"/>
  <c r="I21" i="1"/>
  <c r="AF20" i="1"/>
  <c r="U20" i="1"/>
  <c r="J20" i="1"/>
  <c r="I20" i="1"/>
  <c r="U19" i="1"/>
  <c r="L19" i="1"/>
  <c r="K19" i="1"/>
  <c r="J19" i="1"/>
  <c r="I19" i="1"/>
  <c r="U18" i="1"/>
  <c r="L18" i="1"/>
  <c r="K18" i="1"/>
  <c r="J18" i="1"/>
  <c r="I18" i="1"/>
  <c r="AF17" i="1"/>
  <c r="U17" i="1"/>
  <c r="L17" i="1"/>
  <c r="K17" i="1"/>
  <c r="J17" i="1"/>
  <c r="I17" i="1"/>
  <c r="AF16" i="1"/>
  <c r="U16" i="1"/>
  <c r="L16" i="1"/>
  <c r="K16" i="1"/>
  <c r="J16" i="1"/>
  <c r="I16" i="1"/>
  <c r="AF15" i="1"/>
  <c r="U15" i="1"/>
  <c r="L15" i="1"/>
  <c r="K15" i="1"/>
  <c r="AF14" i="1"/>
  <c r="U14" i="1"/>
  <c r="L14" i="1"/>
  <c r="K14" i="1"/>
  <c r="J14" i="1"/>
  <c r="I14" i="1"/>
  <c r="AF13" i="1"/>
  <c r="U13" i="1"/>
  <c r="L13" i="1"/>
  <c r="K13" i="1"/>
  <c r="J13" i="1"/>
  <c r="I13" i="1"/>
  <c r="AD12" i="1"/>
  <c r="AE12" i="1" s="1"/>
  <c r="AF12" i="1" s="1"/>
  <c r="U12" i="1"/>
  <c r="L12" i="1"/>
  <c r="K12" i="1"/>
  <c r="AD11" i="1"/>
  <c r="AE11" i="1" s="1"/>
  <c r="AF11" i="1" s="1"/>
  <c r="U11" i="1"/>
  <c r="O11" i="1"/>
  <c r="L11" i="1"/>
  <c r="K11" i="1"/>
  <c r="J11" i="1"/>
  <c r="I11" i="1"/>
  <c r="F11" i="1"/>
  <c r="E11" i="1"/>
  <c r="D11" i="1"/>
  <c r="C11" i="1"/>
  <c r="AD10" i="1"/>
  <c r="AE10" i="1" s="1"/>
  <c r="AF10" i="1" s="1"/>
  <c r="U10" i="1"/>
  <c r="O10" i="1"/>
  <c r="L10" i="1"/>
  <c r="K10" i="1"/>
  <c r="J10" i="1"/>
  <c r="I10" i="1"/>
  <c r="F10" i="1"/>
  <c r="E10" i="1"/>
  <c r="D10" i="1"/>
  <c r="C10" i="1"/>
  <c r="AD9" i="1"/>
  <c r="AE9" i="1" s="1"/>
  <c r="AF9" i="1" s="1"/>
  <c r="U9" i="1"/>
  <c r="O9" i="1"/>
  <c r="L9" i="1"/>
  <c r="K9" i="1"/>
  <c r="J9" i="1"/>
  <c r="I9" i="1"/>
  <c r="F9" i="1"/>
  <c r="E9" i="1"/>
  <c r="D9" i="1"/>
  <c r="C9" i="1"/>
  <c r="AD8" i="1"/>
  <c r="AE8" i="1" s="1"/>
  <c r="AF8" i="1" s="1"/>
  <c r="U8" i="1"/>
  <c r="O8" i="1"/>
  <c r="L8" i="1"/>
  <c r="K8" i="1"/>
  <c r="J8" i="1"/>
  <c r="I8" i="1"/>
  <c r="F8" i="1"/>
  <c r="E8" i="1"/>
  <c r="D8" i="1"/>
  <c r="C8" i="1"/>
  <c r="AD7" i="1"/>
  <c r="AE7" i="1" s="1"/>
  <c r="AF7" i="1" s="1"/>
  <c r="AD4" i="1"/>
  <c r="AE4" i="1" s="1"/>
  <c r="AF4" i="1" s="1"/>
  <c r="Y30" i="1" l="1"/>
  <c r="V30" i="1"/>
  <c r="W30" i="1"/>
  <c r="X30" i="1"/>
  <c r="Y29" i="1"/>
  <c r="V29" i="1"/>
  <c r="W29" i="1"/>
  <c r="X29" i="1"/>
  <c r="Y27" i="1"/>
  <c r="W27" i="1"/>
  <c r="V27" i="1"/>
  <c r="X27" i="1"/>
  <c r="Y26" i="1"/>
  <c r="V26" i="1"/>
  <c r="X26" i="1"/>
  <c r="W26" i="1"/>
  <c r="Y25" i="1"/>
  <c r="X25" i="1"/>
  <c r="W25" i="1"/>
  <c r="V25" i="1"/>
  <c r="W24" i="1"/>
  <c r="Y24" i="1"/>
  <c r="X24" i="1"/>
  <c r="V24" i="1"/>
  <c r="W23" i="1"/>
  <c r="V23" i="1"/>
  <c r="Y23" i="1"/>
  <c r="X23" i="1"/>
  <c r="W22" i="1"/>
  <c r="X22" i="1"/>
  <c r="Y22" i="1"/>
  <c r="V22" i="1"/>
  <c r="W21" i="1"/>
  <c r="V21" i="1"/>
  <c r="W20" i="1"/>
  <c r="V20" i="1"/>
  <c r="Y19" i="1"/>
  <c r="V19" i="1"/>
  <c r="X19" i="1"/>
  <c r="W19" i="1"/>
  <c r="W18" i="1"/>
  <c r="X18" i="1"/>
  <c r="V18" i="1"/>
  <c r="Y18" i="1"/>
  <c r="X17" i="1"/>
  <c r="V17" i="1"/>
  <c r="Y17" i="1"/>
  <c r="W17" i="1"/>
  <c r="X16" i="1"/>
  <c r="V16" i="1"/>
  <c r="Y16" i="1"/>
  <c r="W16" i="1"/>
  <c r="V15" i="1"/>
  <c r="W15" i="1" s="1"/>
  <c r="X15" i="1"/>
  <c r="Y15" i="1"/>
  <c r="X14" i="1"/>
  <c r="V14" i="1"/>
  <c r="Y14" i="1"/>
  <c r="W14" i="1"/>
  <c r="X13" i="1"/>
  <c r="Y13" i="1"/>
  <c r="V13" i="1"/>
  <c r="W13" i="1"/>
  <c r="X12" i="1"/>
  <c r="V12" i="1"/>
  <c r="X11" i="1"/>
  <c r="W11" i="1"/>
  <c r="V11" i="1"/>
  <c r="Y11" i="1"/>
  <c r="Q11" i="1"/>
  <c r="R11" i="1"/>
  <c r="S11" i="1"/>
  <c r="P11" i="1"/>
  <c r="Y10" i="1"/>
  <c r="V10" i="1"/>
  <c r="X10" i="1"/>
  <c r="W10" i="1"/>
  <c r="R10" i="1"/>
  <c r="Q10" i="1"/>
  <c r="S10" i="1"/>
  <c r="P10" i="1"/>
  <c r="Y9" i="1"/>
  <c r="W9" i="1"/>
  <c r="X9" i="1"/>
  <c r="V9" i="1"/>
  <c r="Q9" i="1"/>
  <c r="S9" i="1"/>
  <c r="P9" i="1"/>
  <c r="R9" i="1"/>
  <c r="Y8" i="1"/>
  <c r="V8" i="1"/>
  <c r="X8" i="1"/>
  <c r="W8" i="1"/>
  <c r="R8" i="1"/>
  <c r="Q8" i="1"/>
  <c r="S8" i="1"/>
  <c r="P8" i="1"/>
  <c r="W12" i="1" l="1"/>
  <c r="Y12" i="1"/>
</calcChain>
</file>

<file path=xl/sharedStrings.xml><?xml version="1.0" encoding="utf-8"?>
<sst xmlns="http://schemas.openxmlformats.org/spreadsheetml/2006/main" count="185" uniqueCount="77">
  <si>
    <t>UPDATE PRICE NIKE (JUL-DES 2026)</t>
  </si>
  <si>
    <t>UPDATE PRICE NIKE (JUL-DES 2026) OUTSIDE BANTEN</t>
  </si>
  <si>
    <t>2/1-7/31</t>
  </si>
  <si>
    <t>MATERIAL</t>
  </si>
  <si>
    <t>COMMON</t>
  </si>
  <si>
    <t>SPECIAL</t>
  </si>
  <si>
    <t>COMON</t>
  </si>
  <si>
    <t>Material Name</t>
  </si>
  <si>
    <t>THICKNESS</t>
  </si>
  <si>
    <t>Price (USD) SS26</t>
  </si>
  <si>
    <t>Lead Time</t>
  </si>
  <si>
    <t>SKIN SIZE</t>
  </si>
  <si>
    <t>W</t>
  </si>
  <si>
    <t>B</t>
  </si>
  <si>
    <t>C</t>
  </si>
  <si>
    <t>A/P/M</t>
  </si>
  <si>
    <t>F</t>
  </si>
  <si>
    <t>WHITE</t>
  </si>
  <si>
    <t>BLACK</t>
  </si>
  <si>
    <t>COLOR</t>
  </si>
  <si>
    <t>FLUORESCENT</t>
  </si>
  <si>
    <t>METALLIC/PEARLIZED/ANODIZED</t>
  </si>
  <si>
    <t>Sample</t>
  </si>
  <si>
    <t>Production</t>
  </si>
  <si>
    <t>(OIA) VIRGIN PU 1.0-1.2</t>
  </si>
  <si>
    <t>(OIA) VIRGIN PU</t>
  </si>
  <si>
    <t>PU COATED LEATHER (MAP-ACTION LEATHER)</t>
  </si>
  <si>
    <t>1.2-1.6MM</t>
  </si>
  <si>
    <t>+ 0.10</t>
  </si>
  <si>
    <t>14 days</t>
  </si>
  <si>
    <t>21 days</t>
  </si>
  <si>
    <t>13</t>
  </si>
  <si>
    <t>(OIA) VIRGIN PU 1.2-1.4</t>
  </si>
  <si>
    <t>(OIA) VIRGIN PU 1.4-1.6</t>
  </si>
  <si>
    <t>(PM) GENERIC PU COATED</t>
  </si>
  <si>
    <t>(OIA) PM GENERIC PU</t>
  </si>
  <si>
    <t>PU COATED LEATHER (MAP-ACTION LEATHER) AR-140</t>
  </si>
  <si>
    <t>VIRGIN HYDRO PU</t>
  </si>
  <si>
    <t>SOFT PU COATED LEATHER (MAP-SOFT PU)</t>
  </si>
  <si>
    <t>GENERIC PU COATED</t>
  </si>
  <si>
    <t>SOFT PU COATED LEATHER (MAP-SOFT PU) AR-140</t>
  </si>
  <si>
    <t>ECO TECH COMFORT</t>
  </si>
  <si>
    <t>ACTION LEATHER - EPM 5</t>
  </si>
  <si>
    <t>H.P ECO TECH COMFORT</t>
  </si>
  <si>
    <t>HYDRO SOFT PU COATED LEATHER - EPM 3</t>
  </si>
  <si>
    <t>SPECIAL DIRECT: AR-140, AR-169, AR-172, AR-176, AR-185, AR-20, AR-216, AR-80, R-131, R-231, R-262, R-102.</t>
  </si>
  <si>
    <t>LS PATENT LEATHER</t>
  </si>
  <si>
    <t>SPECIAL DIRECT: AR-140, AR-169, AR-172, AR-185, AR-20, AR-216, AR-80, R-131, R-231, R-262, R-102.</t>
  </si>
  <si>
    <t>SEMI FULL GRAIN (RS) - EPM 5</t>
  </si>
  <si>
    <t>SEMI FULL GRAIN (DE-3, DE-45, R-68 G 1.46)</t>
  </si>
  <si>
    <t>HYDRO ECO TECH COMFORT</t>
  </si>
  <si>
    <t>SEMI FULL GRAIN AR-209SG 1.24</t>
  </si>
  <si>
    <t>BABY SOFT PATENT LEATHER</t>
  </si>
  <si>
    <t>LACCATO PATENT LEATHER</t>
  </si>
  <si>
    <t>SOHO NUBUCK</t>
  </si>
  <si>
    <t>SOHO NUBUCK R-231 1.24</t>
  </si>
  <si>
    <t>'LACCATTO PATENT LEATHER - EPM 5</t>
  </si>
  <si>
    <t>GENERIC PU COATED DE-41 1.24</t>
  </si>
  <si>
    <t>GENERIC PU COATED DE-41 MATTE 1.24</t>
  </si>
  <si>
    <t>LS-SHIFT PATENT LEATHER</t>
  </si>
  <si>
    <t>GENERIC PU COATED DE-135 1.24</t>
  </si>
  <si>
    <t>GENERIC PU COATED R-53 1.46</t>
  </si>
  <si>
    <t>GENERIC PU COATED DE-7 SM PEARLIZED 1.24</t>
  </si>
  <si>
    <t>'PRINCESS LEATHER</t>
  </si>
  <si>
    <t>GENERIC PU COATED UM-T SM PEARLIZED 1.2-1.6</t>
  </si>
  <si>
    <t>GENERIC PU COATED AR-181 M 1.46</t>
  </si>
  <si>
    <t>GENERIC PU COATED B-92 SG 1.24</t>
  </si>
  <si>
    <t>ECO TECH COMFORT R-8 M 1.24</t>
  </si>
  <si>
    <t>VIRGIN HYDRO PU DE-7 1.24</t>
  </si>
  <si>
    <t>VIRGIN HYDRO PU AR-144 1.46</t>
  </si>
  <si>
    <t>VIRGIN HYDRO PU AR-144 MATTE 1.46</t>
  </si>
  <si>
    <t>LAMPER LEATHER</t>
  </si>
  <si>
    <t>GENERIC PU GALAXY R-8SG 1.24</t>
  </si>
  <si>
    <t>SPECIAL OIA: AR-140, AR-172, AR-176, AR-185, AR-216, AR-80, R-131, R-231, R-262, R-102.</t>
  </si>
  <si>
    <t>H.P ECO TECH AR-140 DM 1.24</t>
  </si>
  <si>
    <t>SPECIAL OIA: AR-140, AR-172, AR-185, AR-216, AR-80, R-131, R-231, R-262, R-102.</t>
  </si>
  <si>
    <t>SEMI FULL GRAIN AR-140 1.46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</si>
</sst>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/>
    </xf>
    <xf numFmtId="2" fontId="5" fillId="5" borderId="16" xfId="0" applyNumberFormat="1" applyFont="1" applyFill="1" applyBorder="1" applyAlignment="1">
      <alignment horizontal="center" vertical="center"/>
    </xf>
    <xf numFmtId="2" fontId="5" fillId="5" borderId="1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2" fontId="7" fillId="0" borderId="9" xfId="0" applyNumberFormat="1" applyFont="1" applyBorder="1" applyAlignment="1">
      <alignment horizontal="center" vertical="center"/>
    </xf>
    <xf numFmtId="2" fontId="7" fillId="0" borderId="9" xfId="0" quotePrefix="1" applyNumberFormat="1" applyFont="1" applyBorder="1" applyAlignment="1">
      <alignment horizontal="center" vertical="center"/>
    </xf>
    <xf numFmtId="0" fontId="7" fillId="0" borderId="9" xfId="0" quotePrefix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shrinkToFit="1"/>
    </xf>
    <xf numFmtId="49" fontId="7" fillId="0" borderId="9" xfId="0" applyNumberFormat="1" applyFont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2" fontId="5" fillId="5" borderId="9" xfId="0" applyNumberFormat="1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2" fontId="8" fillId="0" borderId="9" xfId="0" applyNumberFormat="1" applyFont="1" applyBorder="1" applyAlignment="1">
      <alignment horizontal="center" vertical="center"/>
    </xf>
    <xf numFmtId="2" fontId="8" fillId="0" borderId="2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 shrinkToFit="1"/>
    </xf>
    <xf numFmtId="0" fontId="10" fillId="0" borderId="20" xfId="0" applyFont="1" applyBorder="1" applyAlignment="1">
      <alignment horizontal="center" vertical="center" wrapText="1" shrinkToFit="1"/>
    </xf>
    <xf numFmtId="0" fontId="9" fillId="3" borderId="25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vertical="center"/>
    </xf>
    <xf numFmtId="2" fontId="11" fillId="0" borderId="28" xfId="0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2" fontId="11" fillId="0" borderId="11" xfId="0" applyNumberFormat="1" applyFont="1" applyBorder="1" applyAlignment="1">
      <alignment horizontal="center" vertical="center"/>
    </xf>
    <xf numFmtId="2" fontId="11" fillId="0" borderId="14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15099/Downloads/Bid+Form-NIKEFWBAP--FAHO24-Rou-TONGHONGTANNERYCOLTD-1018231311.xlsm" TargetMode="External"/><Relationship Id="rId2" Type="http://schemas.openxmlformats.org/officeDocument/2006/relationships/externalLinkPath" Target="file:///C:\Users\15099\Downloads\Bid+Form-NIKEFWBAP--FAHO24-Rou-TONGHONGTANNERYCOLTD-1018231311.xlsm" TargetMode="External"/><Relationship Id="rId1" Type="http://schemas.openxmlformats.org/officeDocument/2006/relationships/externalLinkPath" Target="/Users/15099/Downloads/Bid+Form-NIKEFWBAP--FAHO24-Rou-TONGHONGTANNERYCOLTD-10182313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aterial Price List"/>
      <sheetName val="UOM"/>
      <sheetName val="TOC"/>
      <sheetName val="validationInfo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CIF</v>
          </cell>
        </row>
        <row r="2">
          <cell r="A2" t="str">
            <v>CNF</v>
          </cell>
        </row>
        <row r="3">
          <cell r="A3" t="str">
            <v>CNI</v>
          </cell>
        </row>
        <row r="4">
          <cell r="A4" t="str">
            <v>DDP</v>
          </cell>
        </row>
        <row r="5">
          <cell r="A5" t="str">
            <v>DDU</v>
          </cell>
        </row>
        <row r="6">
          <cell r="A6" t="str">
            <v>EXW</v>
          </cell>
        </row>
        <row r="7">
          <cell r="A7" t="str">
            <v>FOB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2983-FC0D-40AB-9D9B-7356EB6776B2}">
  <sheetPr>
    <pageSetUpPr fitToPage="1"/>
  </sheetPr>
  <dimension ref="A1:AJ31"/>
  <sheetViews>
    <sheetView tabSelected="1" topLeftCell="A13" zoomScaleNormal="100" workbookViewId="0">
      <selection activeCell="W27" sqref="W27"/>
    </sheetView>
  </sheetViews>
  <sheetFormatPr defaultRowHeight="23.25" customHeight="1" x14ac:dyDescent="0.25"/>
  <cols>
    <col min="1" max="1" width="26.42578125" style="11" customWidth="1"/>
    <col min="2" max="6" width="6" style="11" customWidth="1"/>
    <col min="7" max="7" width="21.7109375" style="11" bestFit="1" customWidth="1"/>
    <col min="8" max="12" width="6" style="11" customWidth="1"/>
    <col min="13" max="13" width="4.42578125" style="11" customWidth="1"/>
    <col min="14" max="14" width="21" style="11" bestFit="1" customWidth="1"/>
    <col min="15" max="19" width="6" style="11" customWidth="1"/>
    <col min="20" max="20" width="21.7109375" style="11" bestFit="1" customWidth="1"/>
    <col min="21" max="25" width="5.7109375" style="11" customWidth="1"/>
    <col min="26" max="26" width="9.140625" style="11"/>
    <col min="27" max="27" width="23.85546875" style="11" customWidth="1"/>
    <col min="28" max="31" width="9.140625" style="11"/>
    <col min="32" max="32" width="7.7109375" style="11" customWidth="1"/>
    <col min="33" max="16384" width="9.140625" style="11"/>
  </cols>
  <sheetData>
    <row r="1" spans="1:36" s="4" customFormat="1" ht="23.2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N1" s="1" t="s">
        <v>1</v>
      </c>
      <c r="O1" s="2"/>
      <c r="P1" s="2"/>
      <c r="Q1" s="2"/>
      <c r="R1" s="2"/>
      <c r="S1" s="2"/>
      <c r="T1" s="2"/>
      <c r="U1" s="2"/>
      <c r="V1" s="2"/>
      <c r="W1" s="2"/>
      <c r="X1" s="2"/>
      <c r="Y1" s="3"/>
      <c r="AA1" s="5" t="s">
        <v>2</v>
      </c>
    </row>
    <row r="2" spans="1:36" ht="23.25" customHeight="1" x14ac:dyDescent="0.25">
      <c r="A2" s="6" t="s">
        <v>3</v>
      </c>
      <c r="B2" s="7" t="s">
        <v>4</v>
      </c>
      <c r="C2" s="8"/>
      <c r="D2" s="8"/>
      <c r="E2" s="8"/>
      <c r="F2" s="8"/>
      <c r="G2" s="9" t="s">
        <v>3</v>
      </c>
      <c r="H2" s="7" t="s">
        <v>5</v>
      </c>
      <c r="I2" s="8"/>
      <c r="J2" s="8"/>
      <c r="K2" s="8"/>
      <c r="L2" s="10"/>
      <c r="N2" s="6" t="s">
        <v>3</v>
      </c>
      <c r="O2" s="7" t="s">
        <v>6</v>
      </c>
      <c r="P2" s="8"/>
      <c r="Q2" s="8"/>
      <c r="R2" s="8"/>
      <c r="S2" s="8"/>
      <c r="T2" s="9" t="s">
        <v>3</v>
      </c>
      <c r="U2" s="7" t="s">
        <v>5</v>
      </c>
      <c r="V2" s="8"/>
      <c r="W2" s="8"/>
      <c r="X2" s="8"/>
      <c r="Y2" s="10"/>
      <c r="AA2" s="12" t="s">
        <v>7</v>
      </c>
      <c r="AB2" s="13" t="s">
        <v>8</v>
      </c>
      <c r="AC2" s="13" t="s">
        <v>9</v>
      </c>
      <c r="AD2" s="13"/>
      <c r="AE2" s="13"/>
      <c r="AF2" s="13"/>
      <c r="AG2" s="13"/>
      <c r="AH2" s="13" t="s">
        <v>10</v>
      </c>
      <c r="AI2" s="13"/>
      <c r="AJ2" s="13" t="s">
        <v>11</v>
      </c>
    </row>
    <row r="3" spans="1:36" ht="23.25" customHeight="1" thickBot="1" x14ac:dyDescent="0.3">
      <c r="A3" s="14"/>
      <c r="B3" s="15" t="s">
        <v>12</v>
      </c>
      <c r="C3" s="15" t="s">
        <v>13</v>
      </c>
      <c r="D3" s="15" t="s">
        <v>14</v>
      </c>
      <c r="E3" s="15" t="s">
        <v>15</v>
      </c>
      <c r="F3" s="16" t="s">
        <v>16</v>
      </c>
      <c r="G3" s="17"/>
      <c r="H3" s="15" t="s">
        <v>12</v>
      </c>
      <c r="I3" s="15" t="s">
        <v>13</v>
      </c>
      <c r="J3" s="15" t="s">
        <v>14</v>
      </c>
      <c r="K3" s="15" t="s">
        <v>15</v>
      </c>
      <c r="L3" s="18" t="s">
        <v>16</v>
      </c>
      <c r="N3" s="14"/>
      <c r="O3" s="15" t="s">
        <v>12</v>
      </c>
      <c r="P3" s="15" t="s">
        <v>13</v>
      </c>
      <c r="Q3" s="15" t="s">
        <v>14</v>
      </c>
      <c r="R3" s="15" t="s">
        <v>15</v>
      </c>
      <c r="S3" s="16" t="s">
        <v>16</v>
      </c>
      <c r="T3" s="17"/>
      <c r="U3" s="15" t="s">
        <v>12</v>
      </c>
      <c r="V3" s="15" t="s">
        <v>13</v>
      </c>
      <c r="W3" s="15" t="s">
        <v>14</v>
      </c>
      <c r="X3" s="15" t="s">
        <v>15</v>
      </c>
      <c r="Y3" s="18" t="s">
        <v>16</v>
      </c>
      <c r="AA3" s="12"/>
      <c r="AB3" s="13"/>
      <c r="AC3" s="19" t="s">
        <v>17</v>
      </c>
      <c r="AD3" s="19" t="s">
        <v>18</v>
      </c>
      <c r="AE3" s="19" t="s">
        <v>19</v>
      </c>
      <c r="AF3" s="19" t="s">
        <v>20</v>
      </c>
      <c r="AG3" s="19" t="s">
        <v>21</v>
      </c>
      <c r="AH3" s="19" t="s">
        <v>22</v>
      </c>
      <c r="AI3" s="19" t="s">
        <v>23</v>
      </c>
      <c r="AJ3" s="13"/>
    </row>
    <row r="4" spans="1:36" s="23" customFormat="1" ht="24" customHeight="1" x14ac:dyDescent="0.25">
      <c r="A4" s="20" t="s">
        <v>24</v>
      </c>
      <c r="B4" s="21">
        <v>1.19</v>
      </c>
      <c r="C4" s="21">
        <v>1.29</v>
      </c>
      <c r="D4" s="21">
        <v>1.29</v>
      </c>
      <c r="E4" s="21">
        <v>1.34</v>
      </c>
      <c r="F4" s="21">
        <v>1.39</v>
      </c>
      <c r="G4" s="20" t="s">
        <v>24</v>
      </c>
      <c r="H4" s="21">
        <v>1.32</v>
      </c>
      <c r="I4" s="21">
        <v>1.37</v>
      </c>
      <c r="J4" s="21">
        <v>1.42</v>
      </c>
      <c r="K4" s="21">
        <v>1.47</v>
      </c>
      <c r="L4" s="22">
        <v>1.52</v>
      </c>
      <c r="N4" s="20" t="s">
        <v>25</v>
      </c>
      <c r="O4" s="21"/>
      <c r="P4" s="21"/>
      <c r="Q4" s="21"/>
      <c r="R4" s="21"/>
      <c r="S4" s="21"/>
      <c r="T4" s="24" t="s">
        <v>25</v>
      </c>
      <c r="U4" s="21"/>
      <c r="V4" s="21"/>
      <c r="W4" s="21"/>
      <c r="X4" s="21"/>
      <c r="Y4" s="22"/>
      <c r="AA4" s="25" t="s">
        <v>26</v>
      </c>
      <c r="AB4" s="26" t="s">
        <v>27</v>
      </c>
      <c r="AC4" s="27">
        <v>1.1399999999999999</v>
      </c>
      <c r="AD4" s="27">
        <f t="shared" ref="AD4:AE11" si="0">AC4+0.03</f>
        <v>1.17</v>
      </c>
      <c r="AE4" s="27">
        <f t="shared" si="0"/>
        <v>1.2</v>
      </c>
      <c r="AF4" s="28">
        <f t="shared" ref="AF4:AF20" si="1">AE4+0.1</f>
        <v>1.3</v>
      </c>
      <c r="AG4" s="29" t="s">
        <v>28</v>
      </c>
      <c r="AH4" s="30" t="s">
        <v>29</v>
      </c>
      <c r="AI4" s="30" t="s">
        <v>30</v>
      </c>
      <c r="AJ4" s="31" t="s">
        <v>31</v>
      </c>
    </row>
    <row r="5" spans="1:36" s="23" customFormat="1" ht="24" customHeight="1" x14ac:dyDescent="0.25">
      <c r="A5" s="20" t="s">
        <v>32</v>
      </c>
      <c r="B5" s="21">
        <v>1.5</v>
      </c>
      <c r="C5" s="21">
        <v>1.6</v>
      </c>
      <c r="D5" s="21">
        <v>1.6</v>
      </c>
      <c r="E5" s="21">
        <v>1.65</v>
      </c>
      <c r="F5" s="21">
        <v>1.7</v>
      </c>
      <c r="G5" s="20" t="s">
        <v>32</v>
      </c>
      <c r="H5" s="21">
        <v>1.63</v>
      </c>
      <c r="I5" s="21">
        <v>1.68</v>
      </c>
      <c r="J5" s="21">
        <v>1.73</v>
      </c>
      <c r="K5" s="21">
        <v>1.78</v>
      </c>
      <c r="L5" s="21">
        <v>1.83</v>
      </c>
      <c r="N5" s="20"/>
      <c r="O5" s="21"/>
      <c r="P5" s="21"/>
      <c r="Q5" s="21"/>
      <c r="R5" s="21"/>
      <c r="S5" s="21"/>
      <c r="T5" s="24"/>
      <c r="U5" s="21"/>
      <c r="V5" s="21"/>
      <c r="W5" s="21"/>
      <c r="X5" s="21"/>
      <c r="Y5" s="21"/>
      <c r="AA5" s="25"/>
      <c r="AB5" s="26"/>
      <c r="AC5" s="27"/>
      <c r="AD5" s="27"/>
      <c r="AE5" s="27"/>
      <c r="AF5" s="28"/>
      <c r="AG5" s="29"/>
      <c r="AH5" s="30"/>
      <c r="AI5" s="30"/>
      <c r="AJ5" s="31"/>
    </row>
    <row r="6" spans="1:36" s="23" customFormat="1" ht="24" customHeight="1" x14ac:dyDescent="0.25">
      <c r="A6" s="20" t="s">
        <v>33</v>
      </c>
      <c r="B6" s="21">
        <v>1.23</v>
      </c>
      <c r="C6" s="21">
        <v>1.33</v>
      </c>
      <c r="D6" s="21">
        <v>1.33</v>
      </c>
      <c r="E6" s="21">
        <v>1.38</v>
      </c>
      <c r="F6" s="21">
        <v>1.43</v>
      </c>
      <c r="G6" s="20" t="s">
        <v>33</v>
      </c>
      <c r="H6" s="21">
        <v>1.36</v>
      </c>
      <c r="I6" s="21">
        <v>1.41</v>
      </c>
      <c r="J6" s="21">
        <v>1.46</v>
      </c>
      <c r="K6" s="21">
        <v>1.51</v>
      </c>
      <c r="L6" s="21">
        <v>1.56</v>
      </c>
      <c r="N6" s="20"/>
      <c r="O6" s="21"/>
      <c r="P6" s="21"/>
      <c r="Q6" s="21"/>
      <c r="R6" s="21"/>
      <c r="S6" s="21"/>
      <c r="T6" s="24"/>
      <c r="U6" s="21"/>
      <c r="V6" s="21"/>
      <c r="W6" s="21"/>
      <c r="X6" s="21"/>
      <c r="Y6" s="21"/>
      <c r="AA6" s="25"/>
      <c r="AB6" s="26"/>
      <c r="AC6" s="27"/>
      <c r="AD6" s="27"/>
      <c r="AE6" s="27"/>
      <c r="AF6" s="28"/>
      <c r="AG6" s="29"/>
      <c r="AH6" s="30"/>
      <c r="AI6" s="30"/>
      <c r="AJ6" s="31"/>
    </row>
    <row r="7" spans="1:36" s="23" customFormat="1" ht="24" customHeight="1" x14ac:dyDescent="0.25">
      <c r="A7" s="32" t="s">
        <v>34</v>
      </c>
      <c r="B7" s="33">
        <v>1.08</v>
      </c>
      <c r="C7" s="33">
        <v>1.1299999999999999</v>
      </c>
      <c r="D7" s="33">
        <v>1.18</v>
      </c>
      <c r="E7" s="33">
        <v>1.28</v>
      </c>
      <c r="F7" s="33">
        <v>1.23</v>
      </c>
      <c r="G7" s="34" t="s">
        <v>35</v>
      </c>
      <c r="H7" s="33">
        <v>1.08</v>
      </c>
      <c r="I7" s="33">
        <v>1.1299999999999999</v>
      </c>
      <c r="J7" s="33">
        <v>1.18</v>
      </c>
      <c r="K7" s="33">
        <v>1.28</v>
      </c>
      <c r="L7" s="33">
        <v>1.23</v>
      </c>
      <c r="N7" s="32" t="s">
        <v>34</v>
      </c>
      <c r="O7" s="33"/>
      <c r="P7" s="33"/>
      <c r="Q7" s="33"/>
      <c r="R7" s="33"/>
      <c r="S7" s="33"/>
      <c r="T7" s="34" t="s">
        <v>35</v>
      </c>
      <c r="U7" s="33"/>
      <c r="V7" s="33"/>
      <c r="W7" s="33"/>
      <c r="X7" s="33"/>
      <c r="Y7" s="33"/>
      <c r="AA7" s="25" t="s">
        <v>36</v>
      </c>
      <c r="AB7" s="26" t="s">
        <v>27</v>
      </c>
      <c r="AC7" s="27">
        <v>1.34</v>
      </c>
      <c r="AD7" s="27">
        <f t="shared" si="0"/>
        <v>1.37</v>
      </c>
      <c r="AE7" s="27">
        <f t="shared" si="0"/>
        <v>1.4000000000000001</v>
      </c>
      <c r="AF7" s="28">
        <f t="shared" si="1"/>
        <v>1.5000000000000002</v>
      </c>
      <c r="AG7" s="29" t="s">
        <v>28</v>
      </c>
      <c r="AH7" s="30" t="s">
        <v>29</v>
      </c>
      <c r="AI7" s="30" t="s">
        <v>30</v>
      </c>
      <c r="AJ7" s="31" t="s">
        <v>31</v>
      </c>
    </row>
    <row r="8" spans="1:36" s="38" customFormat="1" ht="24" customHeight="1" x14ac:dyDescent="0.25">
      <c r="A8" s="35" t="s">
        <v>37</v>
      </c>
      <c r="B8" s="36">
        <v>1.1299999999999999</v>
      </c>
      <c r="C8" s="36">
        <f>B8+0.05</f>
        <v>1.18</v>
      </c>
      <c r="D8" s="36">
        <f>B8+0.1</f>
        <v>1.23</v>
      </c>
      <c r="E8" s="36">
        <f>B8+0.25</f>
        <v>1.38</v>
      </c>
      <c r="F8" s="37">
        <f>B8+0.25</f>
        <v>1.38</v>
      </c>
      <c r="G8" s="35" t="s">
        <v>37</v>
      </c>
      <c r="H8" s="36">
        <v>1.23</v>
      </c>
      <c r="I8" s="36">
        <f>H8+0.05</f>
        <v>1.28</v>
      </c>
      <c r="J8" s="36">
        <f>H8+0.1</f>
        <v>1.33</v>
      </c>
      <c r="K8" s="36">
        <f t="shared" ref="K8:K18" si="2">H8+0.25</f>
        <v>1.48</v>
      </c>
      <c r="L8" s="36">
        <f>H8+0.25</f>
        <v>1.48</v>
      </c>
      <c r="N8" s="35" t="s">
        <v>37</v>
      </c>
      <c r="O8" s="36">
        <f>B8+0.02</f>
        <v>1.1499999999999999</v>
      </c>
      <c r="P8" s="36">
        <f>O8+0.05</f>
        <v>1.2</v>
      </c>
      <c r="Q8" s="36">
        <f>O8+0.1</f>
        <v>1.25</v>
      </c>
      <c r="R8" s="36">
        <f>O8+0.25</f>
        <v>1.4</v>
      </c>
      <c r="S8" s="37">
        <f>O8+0.25</f>
        <v>1.4</v>
      </c>
      <c r="T8" s="35" t="s">
        <v>37</v>
      </c>
      <c r="U8" s="36">
        <f>H8+0.02</f>
        <v>1.25</v>
      </c>
      <c r="V8" s="36">
        <f>U8+0.05</f>
        <v>1.3</v>
      </c>
      <c r="W8" s="36">
        <f>U8+0.1</f>
        <v>1.35</v>
      </c>
      <c r="X8" s="36">
        <f t="shared" ref="X8:X30" si="3">U8+0.25</f>
        <v>1.5</v>
      </c>
      <c r="Y8" s="36">
        <f>U8+0.25</f>
        <v>1.5</v>
      </c>
      <c r="AA8" s="25" t="s">
        <v>38</v>
      </c>
      <c r="AB8" s="26" t="s">
        <v>27</v>
      </c>
      <c r="AC8" s="27">
        <v>1.17</v>
      </c>
      <c r="AD8" s="27">
        <f t="shared" si="0"/>
        <v>1.2</v>
      </c>
      <c r="AE8" s="27">
        <f>AD8+0.03</f>
        <v>1.23</v>
      </c>
      <c r="AF8" s="28">
        <f t="shared" si="1"/>
        <v>1.33</v>
      </c>
      <c r="AG8" s="29" t="s">
        <v>28</v>
      </c>
      <c r="AH8" s="30" t="s">
        <v>29</v>
      </c>
      <c r="AI8" s="30" t="s">
        <v>30</v>
      </c>
      <c r="AJ8" s="39">
        <v>13</v>
      </c>
    </row>
    <row r="9" spans="1:36" s="38" customFormat="1" ht="24" customHeight="1" x14ac:dyDescent="0.25">
      <c r="A9" s="40" t="s">
        <v>39</v>
      </c>
      <c r="B9" s="36">
        <v>1.1299999999999999</v>
      </c>
      <c r="C9" s="36">
        <f>B9+0.05</f>
        <v>1.18</v>
      </c>
      <c r="D9" s="36">
        <f>B9+0.1</f>
        <v>1.23</v>
      </c>
      <c r="E9" s="36">
        <f>B9+0.25</f>
        <v>1.38</v>
      </c>
      <c r="F9" s="37">
        <f>B9+0.25</f>
        <v>1.38</v>
      </c>
      <c r="G9" s="41" t="s">
        <v>39</v>
      </c>
      <c r="H9" s="36">
        <v>1.23</v>
      </c>
      <c r="I9" s="36">
        <f>H9+0.05</f>
        <v>1.28</v>
      </c>
      <c r="J9" s="36">
        <f>H9+0.1</f>
        <v>1.33</v>
      </c>
      <c r="K9" s="36">
        <f t="shared" si="2"/>
        <v>1.48</v>
      </c>
      <c r="L9" s="36">
        <f>H9+0.25</f>
        <v>1.48</v>
      </c>
      <c r="N9" s="40" t="s">
        <v>39</v>
      </c>
      <c r="O9" s="36">
        <f>B9+0.02</f>
        <v>1.1499999999999999</v>
      </c>
      <c r="P9" s="36">
        <f>O9+0.05</f>
        <v>1.2</v>
      </c>
      <c r="Q9" s="36">
        <f>O9+0.1</f>
        <v>1.25</v>
      </c>
      <c r="R9" s="36">
        <f>O9+0.25</f>
        <v>1.4</v>
      </c>
      <c r="S9" s="37">
        <f>O9+0.25</f>
        <v>1.4</v>
      </c>
      <c r="T9" s="41" t="s">
        <v>39</v>
      </c>
      <c r="U9" s="36">
        <f t="shared" ref="U9:U30" si="4">H9+0.02</f>
        <v>1.25</v>
      </c>
      <c r="V9" s="36">
        <f>U9+0.05</f>
        <v>1.3</v>
      </c>
      <c r="W9" s="36">
        <f>U9+0.1</f>
        <v>1.35</v>
      </c>
      <c r="X9" s="36">
        <f t="shared" si="3"/>
        <v>1.5</v>
      </c>
      <c r="Y9" s="36">
        <f>U9+0.25</f>
        <v>1.5</v>
      </c>
      <c r="AA9" s="25" t="s">
        <v>40</v>
      </c>
      <c r="AB9" s="26" t="s">
        <v>27</v>
      </c>
      <c r="AC9" s="27">
        <v>1.37</v>
      </c>
      <c r="AD9" s="27">
        <f t="shared" si="0"/>
        <v>1.4000000000000001</v>
      </c>
      <c r="AE9" s="27">
        <f>AD9+0.03</f>
        <v>1.4300000000000002</v>
      </c>
      <c r="AF9" s="28">
        <f t="shared" si="1"/>
        <v>1.5300000000000002</v>
      </c>
      <c r="AG9" s="29" t="s">
        <v>28</v>
      </c>
      <c r="AH9" s="30" t="s">
        <v>29</v>
      </c>
      <c r="AI9" s="30" t="s">
        <v>30</v>
      </c>
      <c r="AJ9" s="39">
        <v>13</v>
      </c>
    </row>
    <row r="10" spans="1:36" ht="24" customHeight="1" x14ac:dyDescent="0.25">
      <c r="A10" s="42" t="s">
        <v>41</v>
      </c>
      <c r="B10" s="43">
        <v>1.26</v>
      </c>
      <c r="C10" s="43">
        <f>B10+0.05</f>
        <v>1.31</v>
      </c>
      <c r="D10" s="43">
        <f>B10+0.1</f>
        <v>1.36</v>
      </c>
      <c r="E10" s="43">
        <f>B10+0.25</f>
        <v>1.51</v>
      </c>
      <c r="F10" s="43">
        <f>B10+0.25</f>
        <v>1.51</v>
      </c>
      <c r="G10" s="42" t="s">
        <v>41</v>
      </c>
      <c r="H10" s="36">
        <v>1.36</v>
      </c>
      <c r="I10" s="43">
        <f>H10+0.05</f>
        <v>1.4100000000000001</v>
      </c>
      <c r="J10" s="43">
        <f>H10+0.1</f>
        <v>1.4600000000000002</v>
      </c>
      <c r="K10" s="43">
        <f t="shared" si="2"/>
        <v>1.61</v>
      </c>
      <c r="L10" s="43">
        <f>H10+0.25</f>
        <v>1.61</v>
      </c>
      <c r="N10" s="42" t="s">
        <v>41</v>
      </c>
      <c r="O10" s="36">
        <f t="shared" ref="O10:O11" si="5">B10+0.02</f>
        <v>1.28</v>
      </c>
      <c r="P10" s="43">
        <f>O10+0.05</f>
        <v>1.33</v>
      </c>
      <c r="Q10" s="43">
        <f>O10+0.1</f>
        <v>1.3800000000000001</v>
      </c>
      <c r="R10" s="43">
        <f>O10+0.25</f>
        <v>1.53</v>
      </c>
      <c r="S10" s="43">
        <f>O10+0.25</f>
        <v>1.53</v>
      </c>
      <c r="T10" s="44" t="s">
        <v>41</v>
      </c>
      <c r="U10" s="36">
        <f t="shared" si="4"/>
        <v>1.3800000000000001</v>
      </c>
      <c r="V10" s="43">
        <f>U10+0.05</f>
        <v>1.4300000000000002</v>
      </c>
      <c r="W10" s="43">
        <f>U10+0.1</f>
        <v>1.4800000000000002</v>
      </c>
      <c r="X10" s="43">
        <f t="shared" si="3"/>
        <v>1.6300000000000001</v>
      </c>
      <c r="Y10" s="43">
        <f>U10+0.25</f>
        <v>1.6300000000000001</v>
      </c>
      <c r="AA10" s="25" t="s">
        <v>42</v>
      </c>
      <c r="AB10" s="26" t="s">
        <v>27</v>
      </c>
      <c r="AC10" s="27">
        <v>1.1399999999999999</v>
      </c>
      <c r="AD10" s="27">
        <f t="shared" si="0"/>
        <v>1.17</v>
      </c>
      <c r="AE10" s="27">
        <f>AD10+0.03</f>
        <v>1.2</v>
      </c>
      <c r="AF10" s="28">
        <f t="shared" si="1"/>
        <v>1.3</v>
      </c>
      <c r="AG10" s="29" t="s">
        <v>28</v>
      </c>
      <c r="AH10" s="30" t="s">
        <v>29</v>
      </c>
      <c r="AI10" s="30" t="s">
        <v>30</v>
      </c>
      <c r="AJ10" s="31" t="s">
        <v>31</v>
      </c>
    </row>
    <row r="11" spans="1:36" ht="24" customHeight="1" x14ac:dyDescent="0.25">
      <c r="A11" s="45" t="s">
        <v>43</v>
      </c>
      <c r="B11" s="43">
        <v>1.26</v>
      </c>
      <c r="C11" s="43">
        <f>B11+0.05</f>
        <v>1.31</v>
      </c>
      <c r="D11" s="43">
        <f>B11+0.1</f>
        <v>1.36</v>
      </c>
      <c r="E11" s="43">
        <f>B11+0.25</f>
        <v>1.51</v>
      </c>
      <c r="F11" s="43">
        <f>B11+0.25</f>
        <v>1.51</v>
      </c>
      <c r="G11" s="44" t="s">
        <v>43</v>
      </c>
      <c r="H11" s="36">
        <v>1.36</v>
      </c>
      <c r="I11" s="43">
        <f>H11+0.05</f>
        <v>1.4100000000000001</v>
      </c>
      <c r="J11" s="43">
        <f>H11+0.1</f>
        <v>1.4600000000000002</v>
      </c>
      <c r="K11" s="43">
        <f t="shared" si="2"/>
        <v>1.61</v>
      </c>
      <c r="L11" s="43">
        <f>H11+0.25</f>
        <v>1.61</v>
      </c>
      <c r="N11" s="42" t="s">
        <v>43</v>
      </c>
      <c r="O11" s="36">
        <f t="shared" si="5"/>
        <v>1.28</v>
      </c>
      <c r="P11" s="43">
        <f>O11+0.05</f>
        <v>1.33</v>
      </c>
      <c r="Q11" s="43">
        <f>O11+0.1</f>
        <v>1.3800000000000001</v>
      </c>
      <c r="R11" s="43">
        <f>O11+0.25</f>
        <v>1.53</v>
      </c>
      <c r="S11" s="43">
        <f>O11+0.25</f>
        <v>1.53</v>
      </c>
      <c r="T11" s="44" t="s">
        <v>43</v>
      </c>
      <c r="U11" s="36">
        <f t="shared" si="4"/>
        <v>1.3800000000000001</v>
      </c>
      <c r="V11" s="43">
        <f>U11+0.05</f>
        <v>1.4300000000000002</v>
      </c>
      <c r="W11" s="43">
        <f>U11+0.1</f>
        <v>1.4800000000000002</v>
      </c>
      <c r="X11" s="43">
        <f t="shared" si="3"/>
        <v>1.6300000000000001</v>
      </c>
      <c r="Y11" s="43">
        <f>U11+0.25</f>
        <v>1.6300000000000001</v>
      </c>
      <c r="AA11" s="25" t="s">
        <v>44</v>
      </c>
      <c r="AB11" s="26" t="s">
        <v>27</v>
      </c>
      <c r="AC11" s="27">
        <v>1.17</v>
      </c>
      <c r="AD11" s="27">
        <f t="shared" si="0"/>
        <v>1.2</v>
      </c>
      <c r="AE11" s="27">
        <f t="shared" si="0"/>
        <v>1.23</v>
      </c>
      <c r="AF11" s="28">
        <f t="shared" si="1"/>
        <v>1.33</v>
      </c>
      <c r="AG11" s="29" t="s">
        <v>28</v>
      </c>
      <c r="AH11" s="30" t="s">
        <v>29</v>
      </c>
      <c r="AI11" s="30" t="s">
        <v>30</v>
      </c>
      <c r="AJ11" s="39">
        <v>13</v>
      </c>
    </row>
    <row r="12" spans="1:36" ht="24" customHeight="1" x14ac:dyDescent="0.25">
      <c r="A12" s="46" t="s">
        <v>45</v>
      </c>
      <c r="B12" s="47"/>
      <c r="C12" s="47"/>
      <c r="D12" s="47"/>
      <c r="E12" s="47"/>
      <c r="F12" s="47"/>
      <c r="G12" s="48" t="s">
        <v>46</v>
      </c>
      <c r="H12" s="49">
        <v>1.53</v>
      </c>
      <c r="I12" s="43">
        <v>1.53</v>
      </c>
      <c r="J12" s="49">
        <v>1.53</v>
      </c>
      <c r="K12" s="49">
        <f>H12+0.25</f>
        <v>1.78</v>
      </c>
      <c r="L12" s="43">
        <f>H12+0.25</f>
        <v>1.78</v>
      </c>
      <c r="N12" s="46" t="s">
        <v>47</v>
      </c>
      <c r="O12" s="47"/>
      <c r="P12" s="47"/>
      <c r="Q12" s="47"/>
      <c r="R12" s="47"/>
      <c r="S12" s="50"/>
      <c r="T12" s="48" t="s">
        <v>46</v>
      </c>
      <c r="U12" s="36">
        <f t="shared" si="4"/>
        <v>1.55</v>
      </c>
      <c r="V12" s="43">
        <f>U12</f>
        <v>1.55</v>
      </c>
      <c r="W12" s="43">
        <f>V12</f>
        <v>1.55</v>
      </c>
      <c r="X12" s="49">
        <f t="shared" si="3"/>
        <v>1.8</v>
      </c>
      <c r="Y12" s="49">
        <f>V12+0.25</f>
        <v>1.8</v>
      </c>
      <c r="AA12" s="25" t="s">
        <v>48</v>
      </c>
      <c r="AB12" s="26" t="s">
        <v>27</v>
      </c>
      <c r="AC12" s="27">
        <v>1.37</v>
      </c>
      <c r="AD12" s="27">
        <f>AC12+0.03</f>
        <v>1.4000000000000001</v>
      </c>
      <c r="AE12" s="27">
        <f>AD12+0.03</f>
        <v>1.4300000000000002</v>
      </c>
      <c r="AF12" s="28">
        <f>AE12+0.1</f>
        <v>1.5300000000000002</v>
      </c>
      <c r="AG12" s="29" t="s">
        <v>28</v>
      </c>
      <c r="AH12" s="30" t="s">
        <v>29</v>
      </c>
      <c r="AI12" s="30" t="s">
        <v>30</v>
      </c>
      <c r="AJ12" s="39">
        <v>13</v>
      </c>
    </row>
    <row r="13" spans="1:36" ht="24" customHeight="1" x14ac:dyDescent="0.25">
      <c r="A13" s="51"/>
      <c r="B13" s="52"/>
      <c r="C13" s="52"/>
      <c r="D13" s="52"/>
      <c r="E13" s="52"/>
      <c r="F13" s="52"/>
      <c r="G13" s="53" t="s">
        <v>49</v>
      </c>
      <c r="H13" s="36">
        <v>1.22</v>
      </c>
      <c r="I13" s="43">
        <f>H13+0.05</f>
        <v>1.27</v>
      </c>
      <c r="J13" s="43">
        <f>H13+0.1</f>
        <v>1.32</v>
      </c>
      <c r="K13" s="43">
        <f t="shared" si="2"/>
        <v>1.47</v>
      </c>
      <c r="L13" s="43">
        <f t="shared" ref="L13:L30" si="6">H13+0.25</f>
        <v>1.47</v>
      </c>
      <c r="N13" s="51"/>
      <c r="O13" s="52"/>
      <c r="P13" s="52"/>
      <c r="Q13" s="52"/>
      <c r="R13" s="52"/>
      <c r="S13" s="54"/>
      <c r="T13" s="53" t="s">
        <v>49</v>
      </c>
      <c r="U13" s="36">
        <f t="shared" si="4"/>
        <v>1.24</v>
      </c>
      <c r="V13" s="43">
        <f>U13+0.05</f>
        <v>1.29</v>
      </c>
      <c r="W13" s="43">
        <f>U13+0.1</f>
        <v>1.34</v>
      </c>
      <c r="X13" s="43">
        <f t="shared" si="3"/>
        <v>1.49</v>
      </c>
      <c r="Y13" s="43">
        <f t="shared" ref="Y13:Y30" si="7">U13+0.25</f>
        <v>1.49</v>
      </c>
      <c r="AA13" s="25" t="s">
        <v>50</v>
      </c>
      <c r="AB13" s="26" t="s">
        <v>27</v>
      </c>
      <c r="AC13" s="27">
        <v>1.5</v>
      </c>
      <c r="AD13" s="27">
        <v>1.5</v>
      </c>
      <c r="AE13" s="27">
        <v>1.5</v>
      </c>
      <c r="AF13" s="28">
        <f>AE13+0.1</f>
        <v>1.6</v>
      </c>
      <c r="AG13" s="29" t="s">
        <v>28</v>
      </c>
      <c r="AH13" s="30" t="s">
        <v>29</v>
      </c>
      <c r="AI13" s="30" t="s">
        <v>30</v>
      </c>
      <c r="AJ13" s="39">
        <v>13</v>
      </c>
    </row>
    <row r="14" spans="1:36" ht="24" customHeight="1" x14ac:dyDescent="0.25">
      <c r="A14" s="51"/>
      <c r="B14" s="52"/>
      <c r="C14" s="52"/>
      <c r="D14" s="52"/>
      <c r="E14" s="52"/>
      <c r="F14" s="52"/>
      <c r="G14" s="53" t="s">
        <v>51</v>
      </c>
      <c r="H14" s="36">
        <v>1.32</v>
      </c>
      <c r="I14" s="43">
        <f>H14+0.05</f>
        <v>1.37</v>
      </c>
      <c r="J14" s="43">
        <f>H14+0.1</f>
        <v>1.4200000000000002</v>
      </c>
      <c r="K14" s="43">
        <f t="shared" si="2"/>
        <v>1.57</v>
      </c>
      <c r="L14" s="43">
        <f t="shared" si="6"/>
        <v>1.57</v>
      </c>
      <c r="N14" s="51"/>
      <c r="O14" s="52"/>
      <c r="P14" s="52"/>
      <c r="Q14" s="52"/>
      <c r="R14" s="52"/>
      <c r="S14" s="54"/>
      <c r="T14" s="53" t="s">
        <v>51</v>
      </c>
      <c r="U14" s="36">
        <f t="shared" si="4"/>
        <v>1.34</v>
      </c>
      <c r="V14" s="43">
        <f t="shared" ref="V14:V30" si="8">U14+0.05</f>
        <v>1.3900000000000001</v>
      </c>
      <c r="W14" s="43">
        <f t="shared" ref="W14:W30" si="9">U14+0.1</f>
        <v>1.4400000000000002</v>
      </c>
      <c r="X14" s="43">
        <f t="shared" si="3"/>
        <v>1.59</v>
      </c>
      <c r="Y14" s="43">
        <f t="shared" si="7"/>
        <v>1.59</v>
      </c>
      <c r="AA14" s="25" t="s">
        <v>52</v>
      </c>
      <c r="AB14" s="26" t="s">
        <v>27</v>
      </c>
      <c r="AC14" s="27">
        <v>1.6</v>
      </c>
      <c r="AD14" s="27">
        <v>1.6</v>
      </c>
      <c r="AE14" s="28">
        <v>1.6</v>
      </c>
      <c r="AF14" s="28">
        <f t="shared" si="1"/>
        <v>1.7000000000000002</v>
      </c>
      <c r="AG14" s="29" t="s">
        <v>28</v>
      </c>
      <c r="AH14" s="30" t="s">
        <v>29</v>
      </c>
      <c r="AI14" s="30" t="s">
        <v>30</v>
      </c>
      <c r="AJ14" s="39">
        <v>13</v>
      </c>
    </row>
    <row r="15" spans="1:36" ht="24" customHeight="1" x14ac:dyDescent="0.25">
      <c r="A15" s="51"/>
      <c r="B15" s="52"/>
      <c r="C15" s="52"/>
      <c r="D15" s="52"/>
      <c r="E15" s="52"/>
      <c r="F15" s="52"/>
      <c r="G15" s="45" t="s">
        <v>53</v>
      </c>
      <c r="H15" s="36">
        <v>1.88</v>
      </c>
      <c r="I15" s="36">
        <v>1.88</v>
      </c>
      <c r="J15" s="36">
        <v>1.88</v>
      </c>
      <c r="K15" s="43">
        <f t="shared" si="2"/>
        <v>2.13</v>
      </c>
      <c r="L15" s="43">
        <f t="shared" si="6"/>
        <v>2.13</v>
      </c>
      <c r="N15" s="51"/>
      <c r="O15" s="52"/>
      <c r="P15" s="52"/>
      <c r="Q15" s="52"/>
      <c r="R15" s="52"/>
      <c r="S15" s="54"/>
      <c r="T15" s="45" t="s">
        <v>53</v>
      </c>
      <c r="U15" s="36">
        <f t="shared" si="4"/>
        <v>1.9</v>
      </c>
      <c r="V15" s="43">
        <f>U15</f>
        <v>1.9</v>
      </c>
      <c r="W15" s="43">
        <f>V15</f>
        <v>1.9</v>
      </c>
      <c r="X15" s="43">
        <f t="shared" si="3"/>
        <v>2.15</v>
      </c>
      <c r="Y15" s="43">
        <f t="shared" si="7"/>
        <v>2.15</v>
      </c>
      <c r="AA15" s="25" t="s">
        <v>54</v>
      </c>
      <c r="AB15" s="26" t="s">
        <v>27</v>
      </c>
      <c r="AC15" s="27">
        <v>1.63</v>
      </c>
      <c r="AD15" s="27">
        <v>1.63</v>
      </c>
      <c r="AE15" s="27">
        <v>1.63</v>
      </c>
      <c r="AF15" s="28">
        <f t="shared" si="1"/>
        <v>1.73</v>
      </c>
      <c r="AG15" s="29" t="s">
        <v>28</v>
      </c>
      <c r="AH15" s="30" t="s">
        <v>29</v>
      </c>
      <c r="AI15" s="30" t="s">
        <v>30</v>
      </c>
      <c r="AJ15" s="31" t="s">
        <v>31</v>
      </c>
    </row>
    <row r="16" spans="1:36" ht="24" customHeight="1" x14ac:dyDescent="0.25">
      <c r="A16" s="51"/>
      <c r="B16" s="52"/>
      <c r="C16" s="52"/>
      <c r="D16" s="52"/>
      <c r="E16" s="52"/>
      <c r="F16" s="52"/>
      <c r="G16" s="45" t="s">
        <v>55</v>
      </c>
      <c r="H16" s="36">
        <v>1.53</v>
      </c>
      <c r="I16" s="43">
        <f t="shared" ref="I16:I21" si="10">H16+0.05</f>
        <v>1.58</v>
      </c>
      <c r="J16" s="43">
        <f t="shared" ref="J16:J23" si="11">H16+0.1</f>
        <v>1.6300000000000001</v>
      </c>
      <c r="K16" s="43">
        <f t="shared" si="2"/>
        <v>1.78</v>
      </c>
      <c r="L16" s="43">
        <f t="shared" si="6"/>
        <v>1.78</v>
      </c>
      <c r="N16" s="51"/>
      <c r="O16" s="52"/>
      <c r="P16" s="52"/>
      <c r="Q16" s="52"/>
      <c r="R16" s="52"/>
      <c r="S16" s="54"/>
      <c r="T16" s="45" t="s">
        <v>55</v>
      </c>
      <c r="U16" s="36">
        <f t="shared" si="4"/>
        <v>1.55</v>
      </c>
      <c r="V16" s="43">
        <f>U16+0.05</f>
        <v>1.6</v>
      </c>
      <c r="W16" s="43">
        <f t="shared" si="9"/>
        <v>1.6500000000000001</v>
      </c>
      <c r="X16" s="43">
        <f t="shared" si="3"/>
        <v>1.8</v>
      </c>
      <c r="Y16" s="43">
        <f t="shared" si="7"/>
        <v>1.8</v>
      </c>
      <c r="AA16" s="25" t="s">
        <v>56</v>
      </c>
      <c r="AB16" s="26" t="s">
        <v>27</v>
      </c>
      <c r="AC16" s="27">
        <v>1.91</v>
      </c>
      <c r="AD16" s="27">
        <v>1.91</v>
      </c>
      <c r="AE16" s="27">
        <v>1.91</v>
      </c>
      <c r="AF16" s="28">
        <f t="shared" si="1"/>
        <v>2.0099999999999998</v>
      </c>
      <c r="AG16" s="29" t="s">
        <v>28</v>
      </c>
      <c r="AH16" s="30" t="s">
        <v>29</v>
      </c>
      <c r="AI16" s="30" t="s">
        <v>30</v>
      </c>
      <c r="AJ16" s="31" t="s">
        <v>31</v>
      </c>
    </row>
    <row r="17" spans="1:36" ht="24" customHeight="1" x14ac:dyDescent="0.25">
      <c r="A17" s="51"/>
      <c r="B17" s="52"/>
      <c r="C17" s="52"/>
      <c r="D17" s="52"/>
      <c r="E17" s="52"/>
      <c r="F17" s="52"/>
      <c r="G17" s="55" t="s">
        <v>57</v>
      </c>
      <c r="H17" s="49">
        <v>1.0900000000000001</v>
      </c>
      <c r="I17" s="43">
        <f>H17+0.05</f>
        <v>1.1400000000000001</v>
      </c>
      <c r="J17" s="43">
        <f t="shared" si="11"/>
        <v>1.1900000000000002</v>
      </c>
      <c r="K17" s="43">
        <f t="shared" si="2"/>
        <v>1.34</v>
      </c>
      <c r="L17" s="43">
        <f t="shared" si="6"/>
        <v>1.34</v>
      </c>
      <c r="N17" s="51"/>
      <c r="O17" s="52"/>
      <c r="P17" s="52"/>
      <c r="Q17" s="52"/>
      <c r="R17" s="52"/>
      <c r="S17" s="54"/>
      <c r="T17" s="55" t="s">
        <v>58</v>
      </c>
      <c r="U17" s="36">
        <f t="shared" si="4"/>
        <v>1.1100000000000001</v>
      </c>
      <c r="V17" s="43">
        <f t="shared" si="8"/>
        <v>1.1600000000000001</v>
      </c>
      <c r="W17" s="43">
        <f t="shared" si="9"/>
        <v>1.2100000000000002</v>
      </c>
      <c r="X17" s="43">
        <f t="shared" si="3"/>
        <v>1.36</v>
      </c>
      <c r="Y17" s="43">
        <f t="shared" si="7"/>
        <v>1.36</v>
      </c>
      <c r="AA17" s="25" t="s">
        <v>59</v>
      </c>
      <c r="AB17" s="26" t="s">
        <v>27</v>
      </c>
      <c r="AC17" s="27">
        <v>1.8</v>
      </c>
      <c r="AD17" s="27">
        <v>1.8</v>
      </c>
      <c r="AE17" s="27">
        <v>1.8</v>
      </c>
      <c r="AF17" s="28">
        <f t="shared" si="1"/>
        <v>1.9000000000000001</v>
      </c>
      <c r="AG17" s="29" t="s">
        <v>28</v>
      </c>
      <c r="AH17" s="30" t="s">
        <v>29</v>
      </c>
      <c r="AI17" s="30" t="s">
        <v>30</v>
      </c>
      <c r="AJ17" s="31" t="s">
        <v>31</v>
      </c>
    </row>
    <row r="18" spans="1:36" ht="24" customHeight="1" x14ac:dyDescent="0.25">
      <c r="A18" s="51"/>
      <c r="B18" s="52"/>
      <c r="C18" s="52"/>
      <c r="D18" s="52"/>
      <c r="E18" s="52"/>
      <c r="F18" s="52"/>
      <c r="G18" s="55" t="s">
        <v>60</v>
      </c>
      <c r="H18" s="49">
        <v>1.0900000000000001</v>
      </c>
      <c r="I18" s="43">
        <f>H18+0.05</f>
        <v>1.1400000000000001</v>
      </c>
      <c r="J18" s="43">
        <f t="shared" si="11"/>
        <v>1.1900000000000002</v>
      </c>
      <c r="K18" s="43">
        <f t="shared" si="2"/>
        <v>1.34</v>
      </c>
      <c r="L18" s="43">
        <f t="shared" si="6"/>
        <v>1.34</v>
      </c>
      <c r="N18" s="51"/>
      <c r="O18" s="52"/>
      <c r="P18" s="52"/>
      <c r="Q18" s="52"/>
      <c r="R18" s="52"/>
      <c r="S18" s="54"/>
      <c r="T18" s="55" t="s">
        <v>60</v>
      </c>
      <c r="U18" s="36">
        <f t="shared" si="4"/>
        <v>1.1100000000000001</v>
      </c>
      <c r="V18" s="43">
        <f t="shared" si="8"/>
        <v>1.1600000000000001</v>
      </c>
      <c r="W18" s="43">
        <f t="shared" si="9"/>
        <v>1.2100000000000002</v>
      </c>
      <c r="X18" s="43">
        <f>U18+0.25</f>
        <v>1.36</v>
      </c>
      <c r="Y18" s="43">
        <f t="shared" si="7"/>
        <v>1.36</v>
      </c>
      <c r="AA18" s="25"/>
      <c r="AB18" s="26"/>
      <c r="AC18" s="27"/>
      <c r="AD18" s="27"/>
      <c r="AE18" s="27"/>
      <c r="AF18" s="28"/>
      <c r="AG18" s="29"/>
      <c r="AH18" s="30"/>
      <c r="AI18" s="30"/>
      <c r="AJ18" s="31"/>
    </row>
    <row r="19" spans="1:36" ht="24" customHeight="1" x14ac:dyDescent="0.25">
      <c r="A19" s="51"/>
      <c r="B19" s="52"/>
      <c r="C19" s="52"/>
      <c r="D19" s="52"/>
      <c r="E19" s="52"/>
      <c r="F19" s="52"/>
      <c r="G19" s="55" t="s">
        <v>61</v>
      </c>
      <c r="H19" s="49">
        <v>1.1000000000000001</v>
      </c>
      <c r="I19" s="43">
        <f>H19+0.05</f>
        <v>1.1500000000000001</v>
      </c>
      <c r="J19" s="43">
        <f t="shared" si="11"/>
        <v>1.2000000000000002</v>
      </c>
      <c r="K19" s="43">
        <f>H19+0.25</f>
        <v>1.35</v>
      </c>
      <c r="L19" s="43">
        <f t="shared" si="6"/>
        <v>1.35</v>
      </c>
      <c r="N19" s="51"/>
      <c r="O19" s="52"/>
      <c r="P19" s="52"/>
      <c r="Q19" s="52"/>
      <c r="R19" s="52"/>
      <c r="S19" s="54"/>
      <c r="T19" s="55" t="s">
        <v>61</v>
      </c>
      <c r="U19" s="36">
        <f t="shared" si="4"/>
        <v>1.1200000000000001</v>
      </c>
      <c r="V19" s="43">
        <f t="shared" si="8"/>
        <v>1.1700000000000002</v>
      </c>
      <c r="W19" s="43">
        <f t="shared" si="9"/>
        <v>1.2200000000000002</v>
      </c>
      <c r="X19" s="43">
        <f>U19+0.25</f>
        <v>1.37</v>
      </c>
      <c r="Y19" s="43">
        <f t="shared" si="7"/>
        <v>1.37</v>
      </c>
      <c r="AA19" s="25"/>
      <c r="AB19" s="26"/>
      <c r="AC19" s="27"/>
      <c r="AD19" s="27"/>
      <c r="AE19" s="27"/>
      <c r="AF19" s="28"/>
      <c r="AG19" s="29"/>
      <c r="AH19" s="30"/>
      <c r="AI19" s="30"/>
      <c r="AJ19" s="31"/>
    </row>
    <row r="20" spans="1:36" ht="24" customHeight="1" x14ac:dyDescent="0.25">
      <c r="A20" s="51"/>
      <c r="B20" s="52"/>
      <c r="C20" s="52"/>
      <c r="D20" s="52"/>
      <c r="E20" s="52"/>
      <c r="F20" s="52"/>
      <c r="G20" s="55" t="s">
        <v>62</v>
      </c>
      <c r="H20" s="49">
        <v>1.28</v>
      </c>
      <c r="I20" s="43">
        <f t="shared" si="10"/>
        <v>1.33</v>
      </c>
      <c r="J20" s="43">
        <f t="shared" si="11"/>
        <v>1.3800000000000001</v>
      </c>
      <c r="K20" s="43">
        <v>0</v>
      </c>
      <c r="L20" s="43">
        <v>0</v>
      </c>
      <c r="N20" s="51"/>
      <c r="O20" s="52"/>
      <c r="P20" s="52"/>
      <c r="Q20" s="52"/>
      <c r="R20" s="52"/>
      <c r="S20" s="54"/>
      <c r="T20" s="56" t="s">
        <v>62</v>
      </c>
      <c r="U20" s="36">
        <f t="shared" si="4"/>
        <v>1.3</v>
      </c>
      <c r="V20" s="43">
        <f t="shared" si="8"/>
        <v>1.35</v>
      </c>
      <c r="W20" s="43">
        <f t="shared" si="9"/>
        <v>1.4000000000000001</v>
      </c>
      <c r="X20" s="43">
        <v>0</v>
      </c>
      <c r="Y20" s="43">
        <v>0</v>
      </c>
      <c r="AA20" s="25" t="s">
        <v>63</v>
      </c>
      <c r="AB20" s="26" t="s">
        <v>27</v>
      </c>
      <c r="AC20" s="27">
        <v>1.62</v>
      </c>
      <c r="AD20" s="27">
        <v>1.62</v>
      </c>
      <c r="AE20" s="27">
        <v>1.62</v>
      </c>
      <c r="AF20" s="28">
        <f t="shared" si="1"/>
        <v>1.7200000000000002</v>
      </c>
      <c r="AG20" s="29" t="s">
        <v>28</v>
      </c>
      <c r="AH20" s="30" t="s">
        <v>29</v>
      </c>
      <c r="AI20" s="30" t="s">
        <v>30</v>
      </c>
      <c r="AJ20" s="31" t="s">
        <v>31</v>
      </c>
    </row>
    <row r="21" spans="1:36" ht="24" customHeight="1" x14ac:dyDescent="0.25">
      <c r="A21" s="51"/>
      <c r="B21" s="52"/>
      <c r="C21" s="52"/>
      <c r="D21" s="52"/>
      <c r="E21" s="52"/>
      <c r="F21" s="52"/>
      <c r="G21" s="55" t="s">
        <v>64</v>
      </c>
      <c r="H21" s="49">
        <v>1.38</v>
      </c>
      <c r="I21" s="43">
        <f t="shared" si="10"/>
        <v>1.43</v>
      </c>
      <c r="J21" s="43">
        <f t="shared" si="11"/>
        <v>1.48</v>
      </c>
      <c r="K21" s="43">
        <v>0</v>
      </c>
      <c r="L21" s="43">
        <v>0</v>
      </c>
      <c r="N21" s="51"/>
      <c r="O21" s="52"/>
      <c r="P21" s="52"/>
      <c r="Q21" s="52"/>
      <c r="R21" s="52"/>
      <c r="S21" s="54"/>
      <c r="T21" s="55" t="s">
        <v>64</v>
      </c>
      <c r="U21" s="36">
        <f t="shared" si="4"/>
        <v>1.4</v>
      </c>
      <c r="V21" s="43">
        <f t="shared" si="8"/>
        <v>1.45</v>
      </c>
      <c r="W21" s="43">
        <f>U21+0.1</f>
        <v>1.5</v>
      </c>
      <c r="X21" s="43">
        <v>0</v>
      </c>
      <c r="Y21" s="43">
        <v>0</v>
      </c>
    </row>
    <row r="22" spans="1:36" ht="24" customHeight="1" x14ac:dyDescent="0.25">
      <c r="A22" s="51"/>
      <c r="B22" s="52"/>
      <c r="C22" s="52"/>
      <c r="D22" s="52"/>
      <c r="E22" s="52"/>
      <c r="F22" s="52"/>
      <c r="G22" s="55" t="s">
        <v>65</v>
      </c>
      <c r="H22" s="49">
        <v>1.1299999999999999</v>
      </c>
      <c r="I22" s="43">
        <f>H22+0.05</f>
        <v>1.18</v>
      </c>
      <c r="J22" s="43">
        <f t="shared" si="11"/>
        <v>1.23</v>
      </c>
      <c r="K22" s="43">
        <f t="shared" ref="K22:K26" si="12">H22+0.25</f>
        <v>1.38</v>
      </c>
      <c r="L22" s="43">
        <f t="shared" si="6"/>
        <v>1.38</v>
      </c>
      <c r="N22" s="57"/>
      <c r="O22" s="58"/>
      <c r="P22" s="58"/>
      <c r="Q22" s="58"/>
      <c r="R22" s="58"/>
      <c r="S22" s="58"/>
      <c r="T22" s="55" t="s">
        <v>65</v>
      </c>
      <c r="U22" s="36">
        <f t="shared" si="4"/>
        <v>1.1499999999999999</v>
      </c>
      <c r="V22" s="43">
        <f t="shared" si="8"/>
        <v>1.2</v>
      </c>
      <c r="W22" s="43">
        <f>U22+0.1</f>
        <v>1.25</v>
      </c>
      <c r="X22" s="43">
        <f t="shared" ref="X22:X23" si="13">U22+0.25</f>
        <v>1.4</v>
      </c>
      <c r="Y22" s="43">
        <f t="shared" si="7"/>
        <v>1.4</v>
      </c>
    </row>
    <row r="23" spans="1:36" ht="24" customHeight="1" x14ac:dyDescent="0.25">
      <c r="A23" s="51"/>
      <c r="B23" s="52"/>
      <c r="C23" s="52"/>
      <c r="D23" s="52"/>
      <c r="E23" s="52"/>
      <c r="F23" s="52"/>
      <c r="G23" s="55" t="s">
        <v>66</v>
      </c>
      <c r="H23" s="49">
        <v>1.23</v>
      </c>
      <c r="I23" s="43">
        <f>H23+0.05</f>
        <v>1.28</v>
      </c>
      <c r="J23" s="43">
        <f t="shared" si="11"/>
        <v>1.33</v>
      </c>
      <c r="K23" s="43">
        <f t="shared" si="12"/>
        <v>1.48</v>
      </c>
      <c r="L23" s="43">
        <f t="shared" si="6"/>
        <v>1.48</v>
      </c>
      <c r="N23" s="57"/>
      <c r="O23" s="58"/>
      <c r="P23" s="58"/>
      <c r="Q23" s="58"/>
      <c r="R23" s="58"/>
      <c r="S23" s="58"/>
      <c r="T23" s="55" t="s">
        <v>66</v>
      </c>
      <c r="U23" s="36">
        <f t="shared" si="4"/>
        <v>1.25</v>
      </c>
      <c r="V23" s="43">
        <f t="shared" si="8"/>
        <v>1.3</v>
      </c>
      <c r="W23" s="43">
        <f>U23+0.1</f>
        <v>1.35</v>
      </c>
      <c r="X23" s="43">
        <f t="shared" si="13"/>
        <v>1.5</v>
      </c>
      <c r="Y23" s="43">
        <f t="shared" si="7"/>
        <v>1.5</v>
      </c>
    </row>
    <row r="24" spans="1:36" ht="24" customHeight="1" x14ac:dyDescent="0.25">
      <c r="A24" s="59"/>
      <c r="B24" s="60"/>
      <c r="C24" s="60"/>
      <c r="D24" s="60"/>
      <c r="E24" s="60"/>
      <c r="F24" s="60"/>
      <c r="G24" s="53" t="s">
        <v>67</v>
      </c>
      <c r="H24" s="43">
        <v>1.22</v>
      </c>
      <c r="I24" s="43">
        <f>H24+0.05</f>
        <v>1.27</v>
      </c>
      <c r="J24" s="43">
        <f>H24+0.1</f>
        <v>1.32</v>
      </c>
      <c r="K24" s="43">
        <f t="shared" si="12"/>
        <v>1.47</v>
      </c>
      <c r="L24" s="43">
        <f t="shared" si="6"/>
        <v>1.47</v>
      </c>
      <c r="N24" s="57"/>
      <c r="O24" s="58"/>
      <c r="P24" s="58"/>
      <c r="Q24" s="58"/>
      <c r="R24" s="58"/>
      <c r="S24" s="58"/>
      <c r="T24" s="53" t="s">
        <v>67</v>
      </c>
      <c r="U24" s="36">
        <f t="shared" si="4"/>
        <v>1.24</v>
      </c>
      <c r="V24" s="43">
        <f t="shared" si="8"/>
        <v>1.29</v>
      </c>
      <c r="W24" s="43">
        <f t="shared" si="9"/>
        <v>1.34</v>
      </c>
      <c r="X24" s="43">
        <f t="shared" si="3"/>
        <v>1.49</v>
      </c>
      <c r="Y24" s="43">
        <f t="shared" si="7"/>
        <v>1.49</v>
      </c>
    </row>
    <row r="25" spans="1:36" ht="24" customHeight="1" x14ac:dyDescent="0.25">
      <c r="A25" s="57"/>
      <c r="B25" s="58"/>
      <c r="C25" s="58"/>
      <c r="D25" s="58"/>
      <c r="E25" s="58"/>
      <c r="F25" s="58"/>
      <c r="G25" s="55" t="s">
        <v>68</v>
      </c>
      <c r="H25" s="49">
        <v>1.1000000000000001</v>
      </c>
      <c r="I25" s="43">
        <f t="shared" ref="I25" si="14">H25+0.05</f>
        <v>1.1500000000000001</v>
      </c>
      <c r="J25" s="43">
        <f>H25+0.1</f>
        <v>1.2000000000000002</v>
      </c>
      <c r="K25" s="43">
        <f t="shared" si="12"/>
        <v>1.35</v>
      </c>
      <c r="L25" s="43">
        <f t="shared" si="6"/>
        <v>1.35</v>
      </c>
      <c r="N25" s="57"/>
      <c r="O25" s="58"/>
      <c r="P25" s="58"/>
      <c r="Q25" s="58"/>
      <c r="R25" s="58"/>
      <c r="S25" s="58"/>
      <c r="T25" s="55" t="s">
        <v>68</v>
      </c>
      <c r="U25" s="36">
        <f t="shared" si="4"/>
        <v>1.1200000000000001</v>
      </c>
      <c r="V25" s="43">
        <f t="shared" si="8"/>
        <v>1.1700000000000002</v>
      </c>
      <c r="W25" s="43">
        <f t="shared" si="9"/>
        <v>1.2200000000000002</v>
      </c>
      <c r="X25" s="43">
        <f t="shared" si="3"/>
        <v>1.37</v>
      </c>
      <c r="Y25" s="43">
        <f t="shared" si="7"/>
        <v>1.37</v>
      </c>
    </row>
    <row r="26" spans="1:36" ht="24" customHeight="1" x14ac:dyDescent="0.25">
      <c r="A26" s="57"/>
      <c r="B26" s="58"/>
      <c r="C26" s="58"/>
      <c r="D26" s="58"/>
      <c r="E26" s="58"/>
      <c r="F26" s="58"/>
      <c r="G26" s="55" t="s">
        <v>69</v>
      </c>
      <c r="H26" s="49">
        <v>1.0900000000000001</v>
      </c>
      <c r="I26" s="43">
        <f>H26+0.05</f>
        <v>1.1400000000000001</v>
      </c>
      <c r="J26" s="43">
        <f>H26+0.1</f>
        <v>1.1900000000000002</v>
      </c>
      <c r="K26" s="43">
        <f>H26+0.25</f>
        <v>1.34</v>
      </c>
      <c r="L26" s="43">
        <f t="shared" si="6"/>
        <v>1.34</v>
      </c>
      <c r="N26" s="57"/>
      <c r="O26" s="58"/>
      <c r="P26" s="58"/>
      <c r="Q26" s="58"/>
      <c r="R26" s="58"/>
      <c r="S26" s="58"/>
      <c r="T26" s="55" t="s">
        <v>70</v>
      </c>
      <c r="U26" s="36">
        <f>H26+0.02</f>
        <v>1.1100000000000001</v>
      </c>
      <c r="V26" s="43">
        <f t="shared" si="8"/>
        <v>1.1600000000000001</v>
      </c>
      <c r="W26" s="43">
        <f>U26+0.1</f>
        <v>1.2100000000000002</v>
      </c>
      <c r="X26" s="43">
        <f t="shared" si="3"/>
        <v>1.36</v>
      </c>
      <c r="Y26" s="43">
        <f t="shared" si="7"/>
        <v>1.36</v>
      </c>
    </row>
    <row r="27" spans="1:36" ht="24" customHeight="1" x14ac:dyDescent="0.25">
      <c r="A27" s="57"/>
      <c r="B27" s="58"/>
      <c r="C27" s="58"/>
      <c r="D27" s="58"/>
      <c r="E27" s="58"/>
      <c r="F27" s="58"/>
      <c r="G27" s="55" t="s">
        <v>71</v>
      </c>
      <c r="H27" s="49">
        <v>1.61</v>
      </c>
      <c r="I27" s="43">
        <f>H27+0.05</f>
        <v>1.6600000000000001</v>
      </c>
      <c r="J27" s="43">
        <f>H27+0.1</f>
        <v>1.7100000000000002</v>
      </c>
      <c r="K27" s="43">
        <f>H27+0.25</f>
        <v>1.86</v>
      </c>
      <c r="L27" s="43">
        <f t="shared" si="6"/>
        <v>1.86</v>
      </c>
      <c r="N27" s="57"/>
      <c r="O27" s="58"/>
      <c r="P27" s="58"/>
      <c r="Q27" s="58"/>
      <c r="R27" s="58"/>
      <c r="S27" s="58"/>
      <c r="T27" s="55" t="s">
        <v>71</v>
      </c>
      <c r="U27" s="36">
        <f t="shared" si="4"/>
        <v>1.6300000000000001</v>
      </c>
      <c r="V27" s="43">
        <f t="shared" si="8"/>
        <v>1.6800000000000002</v>
      </c>
      <c r="W27" s="43">
        <f t="shared" si="9"/>
        <v>1.7300000000000002</v>
      </c>
      <c r="X27" s="43">
        <f>U27+0.25</f>
        <v>1.8800000000000001</v>
      </c>
      <c r="Y27" s="43">
        <f t="shared" si="7"/>
        <v>1.8800000000000001</v>
      </c>
    </row>
    <row r="28" spans="1:36" ht="24" customHeight="1" x14ac:dyDescent="0.25">
      <c r="A28" s="57"/>
      <c r="B28" s="58"/>
      <c r="C28" s="58"/>
      <c r="D28" s="58"/>
      <c r="E28" s="58"/>
      <c r="F28" s="58"/>
      <c r="G28" s="55" t="s">
        <v>72</v>
      </c>
      <c r="H28" s="49">
        <v>1.28</v>
      </c>
      <c r="I28" s="43">
        <f>H28+0.05</f>
        <v>1.33</v>
      </c>
      <c r="J28" s="43">
        <f>H28+0.1</f>
        <v>1.3800000000000001</v>
      </c>
      <c r="K28" s="43">
        <v>0</v>
      </c>
      <c r="L28" s="43">
        <v>0</v>
      </c>
      <c r="N28" s="57"/>
      <c r="O28" s="58"/>
      <c r="P28" s="58"/>
      <c r="Q28" s="58"/>
      <c r="R28" s="58"/>
      <c r="S28" s="58"/>
      <c r="T28" s="55" t="s">
        <v>72</v>
      </c>
      <c r="U28" s="36">
        <v>1.28</v>
      </c>
      <c r="V28" s="43">
        <f>U28+0.05</f>
        <v>1.33</v>
      </c>
      <c r="W28" s="43">
        <f>U28+0.1</f>
        <v>1.3800000000000001</v>
      </c>
      <c r="X28" s="43">
        <v>0</v>
      </c>
      <c r="Y28" s="43">
        <v>0</v>
      </c>
    </row>
    <row r="29" spans="1:36" ht="23.25" customHeight="1" x14ac:dyDescent="0.25">
      <c r="A29" s="46" t="s">
        <v>73</v>
      </c>
      <c r="B29" s="47"/>
      <c r="C29" s="47"/>
      <c r="D29" s="47"/>
      <c r="E29" s="47"/>
      <c r="F29" s="47"/>
      <c r="G29" s="61" t="s">
        <v>74</v>
      </c>
      <c r="H29" s="62">
        <v>1.46</v>
      </c>
      <c r="I29" s="62">
        <f>H29+0.05</f>
        <v>1.51</v>
      </c>
      <c r="J29" s="62">
        <f>H29+0.1</f>
        <v>1.56</v>
      </c>
      <c r="K29" s="62">
        <f>H29+0.25</f>
        <v>1.71</v>
      </c>
      <c r="L29" s="63">
        <f t="shared" si="6"/>
        <v>1.71</v>
      </c>
      <c r="N29" s="46" t="s">
        <v>75</v>
      </c>
      <c r="O29" s="47"/>
      <c r="P29" s="47"/>
      <c r="Q29" s="47"/>
      <c r="R29" s="47"/>
      <c r="S29" s="50"/>
      <c r="T29" s="64" t="s">
        <v>74</v>
      </c>
      <c r="U29" s="36">
        <f t="shared" si="4"/>
        <v>1.48</v>
      </c>
      <c r="V29" s="62">
        <f>U29+0.05</f>
        <v>1.53</v>
      </c>
      <c r="W29" s="62">
        <f>U29+0.1</f>
        <v>1.58</v>
      </c>
      <c r="X29" s="62">
        <f>U29+0.25</f>
        <v>1.73</v>
      </c>
      <c r="Y29" s="63">
        <f>U29+0.25</f>
        <v>1.73</v>
      </c>
    </row>
    <row r="30" spans="1:36" ht="23.25" customHeight="1" thickBot="1" x14ac:dyDescent="0.3">
      <c r="A30" s="65"/>
      <c r="B30" s="66"/>
      <c r="C30" s="66"/>
      <c r="D30" s="66"/>
      <c r="E30" s="66"/>
      <c r="F30" s="67"/>
      <c r="G30" s="68" t="s">
        <v>76</v>
      </c>
      <c r="H30" s="69">
        <v>1.42</v>
      </c>
      <c r="I30" s="69">
        <f>H30+0.05</f>
        <v>1.47</v>
      </c>
      <c r="J30" s="69">
        <f>H30+0.1</f>
        <v>1.52</v>
      </c>
      <c r="K30" s="69">
        <f>H30+0.25</f>
        <v>1.67</v>
      </c>
      <c r="L30" s="70">
        <f t="shared" si="6"/>
        <v>1.67</v>
      </c>
      <c r="N30" s="65"/>
      <c r="O30" s="66"/>
      <c r="P30" s="66"/>
      <c r="Q30" s="66"/>
      <c r="R30" s="66"/>
      <c r="S30" s="67"/>
      <c r="T30" s="68" t="s">
        <v>76</v>
      </c>
      <c r="U30" s="36">
        <f t="shared" si="4"/>
        <v>1.44</v>
      </c>
      <c r="V30" s="69">
        <f t="shared" si="8"/>
        <v>1.49</v>
      </c>
      <c r="W30" s="69">
        <f t="shared" si="9"/>
        <v>1.54</v>
      </c>
      <c r="X30" s="69">
        <f t="shared" si="3"/>
        <v>1.69</v>
      </c>
      <c r="Y30" s="70">
        <f t="shared" si="7"/>
        <v>1.69</v>
      </c>
    </row>
    <row r="31" spans="1:36" ht="23.25" customHeight="1" thickBot="1" x14ac:dyDescent="0.3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3"/>
      <c r="N31" s="71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3"/>
    </row>
  </sheetData>
  <mergeCells count="19">
    <mergeCell ref="A29:F30"/>
    <mergeCell ref="N29:S30"/>
    <mergeCell ref="AA2:AA3"/>
    <mergeCell ref="AB2:AB3"/>
    <mergeCell ref="AC2:AG2"/>
    <mergeCell ref="AH2:AI2"/>
    <mergeCell ref="AJ2:AJ3"/>
    <mergeCell ref="A12:F24"/>
    <mergeCell ref="N12:S21"/>
    <mergeCell ref="A1:L1"/>
    <mergeCell ref="N1:Y1"/>
    <mergeCell ref="A2:A3"/>
    <mergeCell ref="B2:F2"/>
    <mergeCell ref="G2:G3"/>
    <mergeCell ref="H2:L2"/>
    <mergeCell ref="N2:N3"/>
    <mergeCell ref="O2:S2"/>
    <mergeCell ref="T2:T3"/>
    <mergeCell ref="U2:Y2"/>
  </mergeCells>
  <pageMargins left="0" right="0" top="0.39369750656167979" bottom="0.39369750656167979" header="0" footer="0"/>
  <pageSetup paperSize="9" scale="6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JUL-DES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BO17</dc:creator>
  <cp:lastModifiedBy>BO17</cp:lastModifiedBy>
  <dcterms:created xsi:type="dcterms:W3CDTF">2026-07-08T01:34:45Z</dcterms:created>
  <dcterms:modified xsi:type="dcterms:W3CDTF">2026-07-08T01:35:07Z</dcterms:modified>
</cp:coreProperties>
</file>