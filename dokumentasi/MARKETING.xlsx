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C:\Users\CO02\Downloads\"/>
    </mc:Choice>
  </mc:AlternateContent>
  <xr:revisionPtr revIDLastSave="0" documentId="8_{C47CAEE4-C121-4A2A-9F21-B7902D953115}" xr6:coauthVersionLast="47" xr6:coauthVersionMax="47" xr10:uidLastSave="{00000000-0000-0000-0000-000000000000}"/>
  <bookViews>
    <workbookView xWindow="-120" yWindow="-120" windowWidth="29040" windowHeight="15720" tabRatio="723" activeTab="8" xr2:uid="{F69A373A-1890-4125-93DC-F016AF72B6FC}"/>
  </bookViews>
  <sheets>
    <sheet name="SOP" sheetId="1" r:id="rId1"/>
    <sheet name="INPUT PO KE SYSTEM" sheetId="2" r:id="rId2"/>
    <sheet name="LAPORAN PO HARIAN" sheetId="3" r:id="rId3"/>
    <sheet name="DATA OUTSTANDING" sheetId="4" r:id="rId4"/>
    <sheet name="INVPL DAN SURAT JALAN" sheetId="5" r:id="rId5"/>
    <sheet name="DELIVERY LIST" sheetId="6" r:id="rId6"/>
    <sheet name="PI" sheetId="7" r:id="rId7"/>
    <sheet name="CUSTOMER INFO" sheetId="8" r:id="rId8"/>
    <sheet name="OUTSTANDING INVOICE"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V13" i="4" l="1"/>
  <c r="V12" i="4"/>
  <c r="V9" i="4"/>
  <c r="V8" i="4"/>
</calcChain>
</file>

<file path=xl/sharedStrings.xml><?xml version="1.0" encoding="utf-8"?>
<sst xmlns="http://schemas.openxmlformats.org/spreadsheetml/2006/main" count="398" uniqueCount="233">
  <si>
    <t xml:space="preserve">1. INPUT PO DI SISTEM YANG LAMA </t>
  </si>
  <si>
    <t>Sistem yang baru tolong untuk di lengkapi fitur seperti ini</t>
  </si>
  <si>
    <t>Request marketing</t>
  </si>
  <si>
    <t>1. Harga tolong muncul secara otomatis dan tidak bisa di edit</t>
  </si>
  <si>
    <t>2. Bisa copy paste untuk PO dengan item yang sama</t>
  </si>
  <si>
    <t>3. Pengisian emboss tolong tidak diwajibkan karena ada beberapa material yang tidak wajib mengisi nama emboss</t>
  </si>
  <si>
    <t>4. Nama material tolong di otomatiskan tapi ada kolom yang bisa di edit, karena kadang ada material subcont material baru yang belum pernah kita produksi sebelumnya</t>
  </si>
  <si>
    <t>5. Apabila ada revisi warna, qty, thickness, ETD, color swatch,backing tolong agar ada history nya agar ppic mengetahui</t>
  </si>
  <si>
    <t>LAPORAN PO HARIAN MARKETING</t>
  </si>
  <si>
    <t>Next kami tidak akan print out contract review manually seperti ini, konfirmasi PO akan di confirm bu ona melalui akun system bu ona, dan ppic bisa kasih ETD langsung di sistem untuk saving paper.</t>
  </si>
  <si>
    <t>Tolong dimunculkan history revisian PO nya</t>
  </si>
  <si>
    <t>Setiap hari ada laporan received PO di grup WA, tolong dimunculkan di dashboard total qty terima PO setiap harinya</t>
  </si>
  <si>
    <t>Laporan harian PO dibedakan berdasarkan kategori nya yaitu sbb</t>
  </si>
  <si>
    <t>a</t>
  </si>
  <si>
    <t>b</t>
  </si>
  <si>
    <t>Production Order</t>
  </si>
  <si>
    <t>c</t>
  </si>
  <si>
    <t>Sample</t>
  </si>
  <si>
    <t>d</t>
  </si>
  <si>
    <t>Claim</t>
  </si>
  <si>
    <t>e</t>
  </si>
  <si>
    <t>Subcont</t>
  </si>
  <si>
    <t>f</t>
  </si>
  <si>
    <t>Return</t>
  </si>
  <si>
    <t>Revisi ….</t>
  </si>
  <si>
    <t>Harapan di sistem baru karena tidak ada print out rekap laporan maka ppic bisa langsung akses po tersebut di sistem</t>
  </si>
  <si>
    <t>DATE</t>
  </si>
  <si>
    <t>THI ORDER</t>
  </si>
  <si>
    <t>CUSTOMER NAME</t>
  </si>
  <si>
    <t>BRAND</t>
  </si>
  <si>
    <t>ORDER TYPE</t>
  </si>
  <si>
    <t>NO PO</t>
  </si>
  <si>
    <t>MATERIAL NAME</t>
  </si>
  <si>
    <t>THICKNESS</t>
  </si>
  <si>
    <t>EMBOSS</t>
  </si>
  <si>
    <t>SOFTNESS TYPE</t>
  </si>
  <si>
    <t>COLOR</t>
  </si>
  <si>
    <t>SOFTNESS</t>
  </si>
  <si>
    <t xml:space="preserve">QTY (S/F)
</t>
  </si>
  <si>
    <t xml:space="preserve">PRICE
</t>
  </si>
  <si>
    <t>COLOR S/W</t>
  </si>
  <si>
    <t xml:space="preserve">BACKING </t>
  </si>
  <si>
    <t>MODEL</t>
  </si>
  <si>
    <t>ARTICLE</t>
  </si>
  <si>
    <t>RTA</t>
  </si>
  <si>
    <t>REPLY ETD</t>
  </si>
  <si>
    <t>STOCK WH</t>
  </si>
  <si>
    <t>BALANCE</t>
  </si>
  <si>
    <t>SYSTEM NO</t>
  </si>
  <si>
    <t>PS26022601</t>
  </si>
  <si>
    <t>GLOSTAR</t>
  </si>
  <si>
    <t>N.B</t>
  </si>
  <si>
    <t>PROD</t>
  </si>
  <si>
    <t>Split Suede</t>
  </si>
  <si>
    <t>1.2-1.4</t>
  </si>
  <si>
    <t>SOFT</t>
  </si>
  <si>
    <t xml:space="preserve">BLACK CEMENT (008-24-00)        </t>
  </si>
  <si>
    <t>2.0-3.0</t>
  </si>
  <si>
    <t>COLOR WINDOW</t>
  </si>
  <si>
    <t>-</t>
  </si>
  <si>
    <t/>
  </si>
  <si>
    <t>3/30</t>
  </si>
  <si>
    <t>MYCGS009260226001</t>
  </si>
  <si>
    <t>PS26022602</t>
  </si>
  <si>
    <t>METRO NB</t>
  </si>
  <si>
    <t>N2026025361NB/140151104C</t>
  </si>
  <si>
    <t>1.4-1.6</t>
  </si>
  <si>
    <t xml:space="preserve">BLACK CEMENT (008-24-00)      </t>
  </si>
  <si>
    <t>UN480HGB-2E</t>
  </si>
  <si>
    <t>MYCMP033260226001</t>
  </si>
  <si>
    <t>ULTIMATE NOBLE</t>
  </si>
  <si>
    <t xml:space="preserve">BLACK (145-17-00)          </t>
  </si>
  <si>
    <t>PS26031304</t>
  </si>
  <si>
    <t>REPRO</t>
  </si>
  <si>
    <t>N2026036955NBREPRO/135010034C</t>
  </si>
  <si>
    <t xml:space="preserve">BLACK (145-17-00)        </t>
  </si>
  <si>
    <t>U90604U4-D</t>
  </si>
  <si>
    <t>4/1</t>
  </si>
  <si>
    <t>MYCMP033260313002</t>
  </si>
  <si>
    <t>PS26031707</t>
  </si>
  <si>
    <t>N2026037261NBREPRO/135010233C</t>
  </si>
  <si>
    <t xml:space="preserve">NEW STONEWARE (034-62-06)       </t>
  </si>
  <si>
    <t>3/31</t>
  </si>
  <si>
    <t>MYCMP033260317001</t>
  </si>
  <si>
    <t>REMARK</t>
  </si>
  <si>
    <t>Format outstanding order marketing tolong dibuatkan seperti ini</t>
  </si>
  <si>
    <t>S26031601</t>
  </si>
  <si>
    <t>PT SUKSES ABADI INDONESIA</t>
  </si>
  <si>
    <t>SAMPLE</t>
  </si>
  <si>
    <t>SAIDEV-26-0001113 ERP 0657/PO-SAI/III/2026</t>
  </si>
  <si>
    <t>W51580S</t>
  </si>
  <si>
    <t>4/6</t>
  </si>
  <si>
    <t>SYCSD047260316003</t>
  </si>
  <si>
    <t>S26040201</t>
  </si>
  <si>
    <t>SAIDEV-26-0001339 ERP 0045/PO-SAI/IV/2026</t>
  </si>
  <si>
    <t xml:space="preserve">BLACK (145-17-00)    </t>
  </si>
  <si>
    <t>G880R5X4</t>
  </si>
  <si>
    <t>4/14</t>
  </si>
  <si>
    <t>SYCSD047260402001</t>
  </si>
  <si>
    <t>g</t>
  </si>
  <si>
    <t>Repro/Short Lead Time PO</t>
  </si>
  <si>
    <t>PSC26033103</t>
  </si>
  <si>
    <t>CLAIM</t>
  </si>
  <si>
    <t>U2026010722NBFOC/135010132C</t>
  </si>
  <si>
    <t xml:space="preserve">SLATE GREY (000-55-00)      </t>
  </si>
  <si>
    <t>BYCMP034260331001</t>
  </si>
  <si>
    <t>PSC26040201</t>
  </si>
  <si>
    <t>U2026021736NBFOC/135010233C</t>
  </si>
  <si>
    <t xml:space="preserve">NEW STONEWARE (034-62-06)         </t>
  </si>
  <si>
    <t>4/24</t>
  </si>
  <si>
    <t>BYCMP034260402001</t>
  </si>
  <si>
    <t>Sesuai dengan meeting kemarin bahwa outstanding akan secara otomatis muncul di sistem, maka munculkan filter di setiap kolom judul</t>
  </si>
  <si>
    <t>Munculkan fitur download excel supaya memudahkan kami apabila akan berkomunikasi dengan customer mengenai data outstanding order disesuaikan dengan kebutuhan kami</t>
  </si>
  <si>
    <t>Munculkan fitur ceklis untuk membuat schedule delivery material yang sudah jadi ataupun yang belum jadi</t>
  </si>
  <si>
    <t>Schedule material yang belum jadi harus muncul di gudang untuk memudahkan QC mengecek material mana yang harus dikirim tapi belum packing</t>
  </si>
  <si>
    <t>Schedule material yang sudah jadi harus muncul di fitur delivery marketing agar memudahkan Tim delivery membuat surat jalan dan print invoice</t>
  </si>
  <si>
    <t>Schedule material yang sudah jadi dibuatkan sesuai dengan qty yang sudah jadi dan bisa dipilih oleh kita karena terkadang customer request tidak semua material dikirim</t>
  </si>
  <si>
    <t>Schedule material yang belum jadi dan muncul di fitur qc, akan dicek dan di konfirmasi oleh qc apabila material tersebut sudah selesai packing.</t>
  </si>
  <si>
    <t>Munculkan fitur sudah kirim, belum kirim dan all untuk memudahkan pengecekan</t>
  </si>
  <si>
    <t>Munculkan fitur search, agar memudahkan kami dalam melakukan pencarian PO</t>
  </si>
  <si>
    <t>Munculkan dua kolom remark yang 1 untuk otomatis remark dari sistem dan tidak bisa direvisi kecuali ada penggantian di input po, remark 1 lagi untuk catatan marketing</t>
  </si>
  <si>
    <t>1st</t>
  </si>
  <si>
    <t>2nd</t>
  </si>
  <si>
    <t>3rd</t>
  </si>
  <si>
    <t>4th</t>
  </si>
  <si>
    <t>5th</t>
  </si>
  <si>
    <t>6th</t>
  </si>
  <si>
    <t>Qty</t>
  </si>
  <si>
    <t>Date</t>
  </si>
  <si>
    <t>Munculkan status material berdasarkan scan terakhir dari produksi</t>
  </si>
  <si>
    <t>Hilangkan PO nomor diatas dan tambahkan fitur PO Number di sebelah kiri Item material</t>
  </si>
  <si>
    <t>Untuk invoice customer export tolong tambahkan Bill To</t>
  </si>
  <si>
    <t>Untuk invoice customer export tambahkan kode material exim di sebelah kanan Item</t>
  </si>
  <si>
    <t>Keterangan lainnya yang ada di invoice ini harus muncul di sistem baru</t>
  </si>
  <si>
    <t>Request marketing untuk invoice packinglist</t>
  </si>
  <si>
    <t>Request marketing untuk surat jalan</t>
  </si>
  <si>
    <t>Surat jalan tidak wajib di print out karena export tidak menggunakan surat jalan</t>
  </si>
  <si>
    <t>munculkan fitur untuk download sj secara PDF</t>
  </si>
  <si>
    <t>Munculkan fitur untuk download invpl secara PDF dan excel</t>
  </si>
  <si>
    <t>NO SJ</t>
  </si>
  <si>
    <t>TGL KIRIM</t>
  </si>
  <si>
    <t>FACTORY NAME</t>
  </si>
  <si>
    <t>PO DATE</t>
  </si>
  <si>
    <t>PO NUMBER</t>
  </si>
  <si>
    <t>LOT NO</t>
  </si>
  <si>
    <t>TYPE</t>
  </si>
  <si>
    <t>QTY PO</t>
  </si>
  <si>
    <t>UNIT PRICE</t>
  </si>
  <si>
    <t>ROLL</t>
  </si>
  <si>
    <t>PCS</t>
  </si>
  <si>
    <t>SF</t>
  </si>
  <si>
    <t>COLOR STD</t>
  </si>
  <si>
    <t>BUYER</t>
  </si>
  <si>
    <t>STYLE</t>
  </si>
  <si>
    <t>INV NUMBER</t>
  </si>
  <si>
    <t>PI_NO</t>
  </si>
  <si>
    <t>THI-C260318003</t>
  </si>
  <si>
    <t>PT. PEI HAI INTERNATIONAL WIRATAMA INDONESIA</t>
  </si>
  <si>
    <t>PSC26030203</t>
  </si>
  <si>
    <t>POB/26/02/AD00447</t>
  </si>
  <si>
    <t>BYCPH001260302001</t>
  </si>
  <si>
    <t xml:space="preserve">CORE BLACK (A0QM)    </t>
  </si>
  <si>
    <t>反毛</t>
  </si>
  <si>
    <t>SPLIT SUEDE (MAP-SPLIT SUEDE)</t>
  </si>
  <si>
    <t>CW 1030</t>
  </si>
  <si>
    <t>ADIDAS</t>
  </si>
  <si>
    <t>THIN-C260318003</t>
  </si>
  <si>
    <t>FOR REPLACEMENT CLAIM ADIDAS YIHFULL</t>
  </si>
  <si>
    <t>THI-M260318013</t>
  </si>
  <si>
    <t>PS26030206</t>
  </si>
  <si>
    <t>POB/26/02/AD00442</t>
  </si>
  <si>
    <t>MYCPH001260303001</t>
  </si>
  <si>
    <t xml:space="preserve">CORE BLACK (A0QM)  </t>
  </si>
  <si>
    <t>THIN-M260318013</t>
  </si>
  <si>
    <t>THI-M260408001</t>
  </si>
  <si>
    <t>PS26030205</t>
  </si>
  <si>
    <t>POB/26/02/AD00443</t>
  </si>
  <si>
    <t>MYCPH001260302001</t>
  </si>
  <si>
    <t>THIN-M260408001</t>
  </si>
  <si>
    <t>THI-M260407013</t>
  </si>
  <si>
    <t>PT. CHANGSHIN REKSA JAYA</t>
  </si>
  <si>
    <t>THIPM26022302</t>
  </si>
  <si>
    <t>4501067073</t>
  </si>
  <si>
    <t>PUMCS005260223001</t>
  </si>
  <si>
    <t>ANTHRACITE (06F)</t>
  </si>
  <si>
    <t>PU COATED(PU)</t>
  </si>
  <si>
    <t>VIRGIN HYDRO PU</t>
  </si>
  <si>
    <t>FOLLOW CMP</t>
  </si>
  <si>
    <t>AR-138 M / 圓材</t>
  </si>
  <si>
    <t>NIKE</t>
  </si>
  <si>
    <t>IQ0098-104</t>
  </si>
  <si>
    <t>AIR MAX 90 MESH (GS)</t>
  </si>
  <si>
    <t>THIN-M260407013</t>
  </si>
  <si>
    <t>THIPM26030516</t>
  </si>
  <si>
    <t>4501072445</t>
  </si>
  <si>
    <t>PUMCS005260305001</t>
  </si>
  <si>
    <t>PUMCS005260305002</t>
  </si>
  <si>
    <t>THI-MD260407005</t>
  </si>
  <si>
    <t>THIPS26030905</t>
  </si>
  <si>
    <t>4501073175</t>
  </si>
  <si>
    <t>PUSCS005260309001</t>
  </si>
  <si>
    <t>LT SMOKE GREY (0AL)</t>
  </si>
  <si>
    <t>FOLLOW CSI</t>
  </si>
  <si>
    <t>IQ0098013</t>
  </si>
  <si>
    <t>THIN-MD260407005</t>
  </si>
  <si>
    <t>SPA SP27</t>
  </si>
  <si>
    <t>DELIVERY LIST DARI SISTEM</t>
  </si>
  <si>
    <t>Request Marketing</t>
  </si>
  <si>
    <t>Munculkan fitur download excel</t>
  </si>
  <si>
    <t>Munculkan kolom GW, NW,Amount</t>
  </si>
  <si>
    <t>Tolong dibedakan initial nomor surat jalan dan nomor invoice untuk production order, sample, claim, return, subcont, sample foc</t>
  </si>
  <si>
    <t>6. Nomor Lot untuk material PU coated, Subcont, Return, Claim dan Suede diharapkan bisa dibedakan intialnya untuk memudahkan dalam pengecekan</t>
  </si>
  <si>
    <t>Tambahkan list ini</t>
  </si>
  <si>
    <t>PIC</t>
  </si>
  <si>
    <t>Jabatan</t>
  </si>
  <si>
    <t>NPWP</t>
  </si>
  <si>
    <t>No Skep KB</t>
  </si>
  <si>
    <t>No Tlp</t>
  </si>
  <si>
    <t>Alamat Bill To</t>
  </si>
  <si>
    <t xml:space="preserve">Alamat email </t>
  </si>
  <si>
    <t>Kode customer tolong disamakan dengan sistem yang lama</t>
  </si>
  <si>
    <t>Alamat email untuk kirim outstanding payment secara otomatis dari sistem</t>
  </si>
  <si>
    <t>REKAP OUTSTANDING INVOICE</t>
  </si>
  <si>
    <t>Tolong tambahkan filter jadi untuk PO nomor bisa dimunculkan dan bisa di hiden. Ketika PO number di hidden maka ini bisa untuk report secara ringkas hanya untuk nomor invoice, customer, qty, maturity (due date payment)</t>
  </si>
  <si>
    <t>h</t>
  </si>
  <si>
    <t>Term of Payment</t>
  </si>
  <si>
    <t>Payment yang sudah lewat jatuh tempo secara otomatis di email dari sistem ke email yang ada di customer info</t>
  </si>
  <si>
    <t>Kolom faktur pajak, Faktur date, Tanda Terima, Received By dan received date, nopen dan no aju bisa di edit</t>
  </si>
  <si>
    <t>Munculkan dashboard untuk marketing yang handle invoice adalah invoice yang 1 minggu lagi due date tapi belum terbayarkan dan invoice yang sudah lewat pembayaran</t>
  </si>
  <si>
    <t>Setiap hari Rabu ada laporan invoice yang sudah jatuh tempo diharapkan bisa muncul di sistem untuk memudahkan laporan</t>
  </si>
  <si>
    <t>Contoh laporannya seperti ini :</t>
  </si>
  <si>
    <t>i</t>
  </si>
  <si>
    <t>Kode Kantor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</si>
</sst>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409]d\-mmm;@"/>
    <numFmt numFmtId="165" formatCode="#,##0.0"/>
    <numFmt numFmtId="166" formatCode="_(* #,##0.0_);_(* \(#,##0.0\);_(* &quot;-&quot;??_);_(@_)"/>
    <numFmt numFmtId="167" formatCode="_-* #,##0.00_-;\-* #,##0.00_-;_-* &quot;-&quot;??_-;_-@_-"/>
    <numFmt numFmtId="168" formatCode="m/d;@"/>
    <numFmt numFmtId="169" formatCode="_-* #,##0.0_-;\-* #,##0.0_-;_-* &quot;-&quot;??_-;_-@_-"/>
    <numFmt numFmtId="170" formatCode="yyyy/m/d;@"/>
  </numFmts>
  <fonts count="26" x14ac:knownFonts="1">
    <font>
      <sz val="11"/>
      <color theme="1"/>
      <name val="Calibri"/>
      <family val="2"/>
      <scheme val="minor"/>
    </font>
    <font>
      <sz val="11"/>
      <color theme="1"/>
      <name val="Calibri"/>
      <family val="2"/>
      <scheme val="minor"/>
    </font>
    <font>
      <b/>
      <sz val="16"/>
      <color theme="1"/>
      <name val="Calibri"/>
      <family val="2"/>
      <scheme val="minor"/>
    </font>
    <font>
      <b/>
      <sz val="18"/>
      <color theme="1"/>
      <name val="Calibri"/>
      <family val="2"/>
      <scheme val="minor"/>
    </font>
    <font>
      <sz val="14"/>
      <color theme="1"/>
      <name val="Calibri"/>
      <family val="2"/>
      <scheme val="minor"/>
    </font>
    <font>
      <sz val="16"/>
      <color theme="1"/>
      <name val="Calibri"/>
      <family val="2"/>
      <scheme val="minor"/>
    </font>
    <font>
      <sz val="16"/>
      <color theme="1"/>
      <name val="Aptos Narrow"/>
      <family val="2"/>
    </font>
    <font>
      <b/>
      <u/>
      <sz val="14"/>
      <color theme="1"/>
      <name val="Calibri"/>
      <family val="2"/>
      <scheme val="minor"/>
    </font>
    <font>
      <b/>
      <u/>
      <sz val="16"/>
      <color theme="1"/>
      <name val="Aptos Narrow"/>
      <family val="2"/>
    </font>
    <font>
      <sz val="18"/>
      <color theme="1"/>
      <name val="Trebuchet MS"/>
      <family val="2"/>
    </font>
    <font>
      <sz val="15"/>
      <color theme="1"/>
      <name val="Trebuchet MS"/>
      <family val="2"/>
    </font>
    <font>
      <sz val="8"/>
      <name val="Trebuchet MS"/>
      <family val="2"/>
    </font>
    <font>
      <b/>
      <sz val="12"/>
      <color theme="1"/>
      <name val="Trebuchet MS"/>
      <family val="2"/>
    </font>
    <font>
      <b/>
      <sz val="11"/>
      <name val="Trebuchet MS"/>
      <family val="2"/>
    </font>
    <font>
      <sz val="8"/>
      <color indexed="8"/>
      <name val="Trebuchet MS"/>
      <family val="2"/>
    </font>
    <font>
      <sz val="20"/>
      <color indexed="8"/>
      <name val="標楷體"/>
      <family val="4"/>
      <charset val="136"/>
    </font>
    <font>
      <sz val="8"/>
      <color rgb="FF00B0F0"/>
      <name val="Trebuchet MS"/>
      <family val="2"/>
    </font>
    <font>
      <b/>
      <sz val="20"/>
      <color theme="1"/>
      <name val="Calibri"/>
      <family val="2"/>
      <scheme val="minor"/>
    </font>
    <font>
      <b/>
      <sz val="22"/>
      <color theme="1"/>
      <name val="Calibri"/>
      <family val="2"/>
      <scheme val="minor"/>
    </font>
    <font>
      <sz val="8"/>
      <color theme="1"/>
      <name val="Trebuchet MS"/>
      <family val="2"/>
    </font>
    <font>
      <b/>
      <u/>
      <sz val="16"/>
      <color theme="1"/>
      <name val="Calibri"/>
      <family val="2"/>
      <scheme val="minor"/>
    </font>
    <font>
      <sz val="10"/>
      <color indexed="8"/>
      <name val="MS Sans Serif"/>
      <family val="2"/>
    </font>
    <font>
      <b/>
      <sz val="20"/>
      <color indexed="8"/>
      <name val="新細明體"/>
      <family val="1"/>
      <charset val="136"/>
    </font>
    <font>
      <b/>
      <sz val="9"/>
      <color indexed="8"/>
      <name val="新細明體"/>
      <family val="1"/>
      <charset val="136"/>
    </font>
    <font>
      <b/>
      <sz val="10"/>
      <color indexed="8"/>
      <name val="細明體"/>
      <family val="3"/>
      <charset val="136"/>
    </font>
    <font>
      <u/>
      <sz val="14"/>
      <color theme="1"/>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5">
    <xf numFmtId="0" fontId="0" fillId="0" borderId="0"/>
    <xf numFmtId="43" fontId="1" fillId="0" borderId="0" applyFont="0" applyFill="0" applyBorder="0" applyAlignment="0" applyProtection="0"/>
    <xf numFmtId="167" fontId="15" fillId="0" borderId="0" applyFont="0" applyFill="0" applyBorder="0" applyAlignment="0" applyProtection="0"/>
    <xf numFmtId="0" fontId="21" fillId="0" borderId="0"/>
    <xf numFmtId="167" fontId="22" fillId="0" borderId="0" applyFont="0" applyFill="0" applyBorder="0" applyAlignment="0" applyProtection="0"/>
  </cellStyleXfs>
  <cellXfs count="58">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4" fillId="0" borderId="0" xfId="0" applyFont="1" applyAlignment="1">
      <alignment horizontal="right"/>
    </xf>
    <xf numFmtId="0" fontId="7" fillId="0" borderId="0" xfId="0" applyFont="1"/>
    <xf numFmtId="0" fontId="8" fillId="0" borderId="0" xfId="0" applyFont="1"/>
    <xf numFmtId="165" fontId="10" fillId="0" borderId="0" xfId="1" applyNumberFormat="1" applyFont="1" applyAlignment="1">
      <alignment horizontal="center" vertical="center"/>
    </xf>
    <xf numFmtId="166" fontId="10" fillId="0" borderId="0" xfId="1" applyNumberFormat="1" applyFont="1" applyAlignment="1">
      <alignment horizontal="right" vertical="center"/>
    </xf>
    <xf numFmtId="165" fontId="0" fillId="0" borderId="0" xfId="0" applyNumberFormat="1"/>
    <xf numFmtId="14" fontId="14" fillId="0" borderId="1" xfId="0" applyNumberFormat="1" applyFont="1" applyBorder="1" applyAlignment="1">
      <alignment horizontal="center" vertical="center" wrapText="1" shrinkToFit="1"/>
    </xf>
    <xf numFmtId="0" fontId="14" fillId="0" borderId="1" xfId="0" applyFont="1" applyBorder="1" applyAlignment="1">
      <alignment horizontal="center" vertical="center" wrapText="1" shrinkToFit="1"/>
    </xf>
    <xf numFmtId="165" fontId="14" fillId="0" borderId="1" xfId="0" applyNumberFormat="1" applyFont="1" applyBorder="1" applyAlignment="1">
      <alignment horizontal="center" vertical="center" wrapText="1" shrinkToFit="1"/>
    </xf>
    <xf numFmtId="4" fontId="14" fillId="0" borderId="1" xfId="2" applyNumberFormat="1" applyFont="1" applyFill="1" applyBorder="1" applyAlignment="1">
      <alignment horizontal="center" vertical="center" wrapText="1" shrinkToFit="1"/>
    </xf>
    <xf numFmtId="168" fontId="14" fillId="0" borderId="1" xfId="0" applyNumberFormat="1" applyFont="1" applyBorder="1" applyAlignment="1">
      <alignment horizontal="center" vertical="center" wrapText="1" shrinkToFit="1"/>
    </xf>
    <xf numFmtId="16" fontId="14" fillId="0" borderId="1" xfId="0" applyNumberFormat="1" applyFont="1" applyBorder="1" applyAlignment="1">
      <alignment horizontal="center" vertical="center" wrapText="1" shrinkToFit="1"/>
    </xf>
    <xf numFmtId="0" fontId="16" fillId="0" borderId="1" xfId="0" applyFont="1" applyBorder="1" applyAlignment="1">
      <alignment horizontal="center" vertical="center" wrapText="1" shrinkToFit="1"/>
    </xf>
    <xf numFmtId="165" fontId="14" fillId="0" borderId="1" xfId="0" applyNumberFormat="1" applyFont="1" applyBorder="1" applyAlignment="1">
      <alignment horizontal="right" vertical="center" wrapText="1" shrinkToFit="1"/>
    </xf>
    <xf numFmtId="0" fontId="14" fillId="0" borderId="1" xfId="0" applyFont="1" applyBorder="1" applyAlignment="1">
      <alignment horizontal="center" vertical="center" wrapText="1"/>
    </xf>
    <xf numFmtId="0" fontId="11" fillId="0" borderId="1" xfId="0" applyFont="1" applyBorder="1" applyAlignment="1">
      <alignment horizontal="center" vertical="center" wrapText="1" shrinkToFit="1"/>
    </xf>
    <xf numFmtId="0" fontId="17" fillId="0" borderId="0" xfId="0" applyFont="1"/>
    <xf numFmtId="0" fontId="18" fillId="0" borderId="0" xfId="0" applyFont="1"/>
    <xf numFmtId="14" fontId="11" fillId="0" borderId="1" xfId="0" applyNumberFormat="1" applyFont="1" applyFill="1" applyBorder="1" applyAlignment="1">
      <alignment horizontal="center" vertical="center" wrapText="1" shrinkToFit="1"/>
    </xf>
    <xf numFmtId="0" fontId="11" fillId="0" borderId="1" xfId="0" applyFont="1" applyFill="1" applyBorder="1" applyAlignment="1">
      <alignment horizontal="center" vertical="center" wrapText="1" shrinkToFit="1"/>
    </xf>
    <xf numFmtId="165" fontId="11" fillId="0" borderId="1" xfId="0" applyNumberFormat="1" applyFont="1" applyFill="1" applyBorder="1" applyAlignment="1">
      <alignment horizontal="center" vertical="center" wrapText="1" shrinkToFit="1"/>
    </xf>
    <xf numFmtId="4" fontId="11" fillId="0" borderId="1" xfId="2" applyNumberFormat="1" applyFont="1" applyFill="1" applyBorder="1" applyAlignment="1">
      <alignment horizontal="center" vertical="center" wrapText="1" shrinkToFit="1"/>
    </xf>
    <xf numFmtId="168" fontId="11" fillId="0" borderId="1" xfId="0" applyNumberFormat="1" applyFont="1" applyFill="1" applyBorder="1" applyAlignment="1">
      <alignment horizontal="center" vertical="center" wrapText="1" shrinkToFit="1"/>
    </xf>
    <xf numFmtId="16" fontId="11" fillId="0" borderId="1" xfId="0" applyNumberFormat="1" applyFont="1" applyFill="1" applyBorder="1" applyAlignment="1">
      <alignment horizontal="center" vertical="center" wrapText="1" shrinkToFit="1"/>
    </xf>
    <xf numFmtId="165" fontId="11" fillId="0" borderId="1" xfId="0" applyNumberFormat="1" applyFont="1" applyFill="1" applyBorder="1" applyAlignment="1">
      <alignment horizontal="right" vertical="center" wrapText="1" shrinkToFit="1"/>
    </xf>
    <xf numFmtId="0" fontId="11" fillId="0" borderId="1" xfId="0" applyFont="1" applyFill="1" applyBorder="1" applyAlignment="1">
      <alignment horizontal="center" vertical="center" wrapText="1"/>
    </xf>
    <xf numFmtId="16" fontId="19" fillId="0" borderId="1" xfId="0" applyNumberFormat="1" applyFont="1" applyBorder="1" applyAlignment="1">
      <alignment horizontal="center" vertical="center"/>
    </xf>
    <xf numFmtId="0" fontId="19" fillId="0" borderId="0" xfId="0" applyFont="1"/>
    <xf numFmtId="0" fontId="20" fillId="0" borderId="0" xfId="0" applyFont="1"/>
    <xf numFmtId="0" fontId="12" fillId="2" borderId="4" xfId="0" applyFont="1" applyFill="1" applyBorder="1" applyAlignment="1">
      <alignment horizontal="center" vertical="center" wrapText="1" shrinkToFit="1"/>
    </xf>
    <xf numFmtId="16" fontId="12" fillId="2" borderId="4" xfId="0" applyNumberFormat="1" applyFont="1" applyFill="1" applyBorder="1" applyAlignment="1">
      <alignment horizontal="center" vertical="center" wrapText="1" shrinkToFit="1"/>
    </xf>
    <xf numFmtId="0" fontId="11" fillId="3" borderId="1" xfId="0" applyFont="1" applyFill="1" applyBorder="1" applyAlignment="1">
      <alignment horizontal="center" vertical="center" wrapText="1" shrinkToFit="1"/>
    </xf>
    <xf numFmtId="16" fontId="19" fillId="0" borderId="0" xfId="0" applyNumberFormat="1" applyFont="1"/>
    <xf numFmtId="0" fontId="23" fillId="0" borderId="1" xfId="3" applyFont="1" applyBorder="1" applyAlignment="1">
      <alignment horizontal="center" vertical="center" shrinkToFit="1"/>
    </xf>
    <xf numFmtId="169" fontId="23" fillId="0" borderId="1" xfId="4" applyNumberFormat="1" applyFont="1" applyBorder="1" applyAlignment="1">
      <alignment horizontal="center" vertical="center" shrinkToFit="1"/>
    </xf>
    <xf numFmtId="0" fontId="23" fillId="0" borderId="1" xfId="3" applyFont="1" applyBorder="1" applyAlignment="1">
      <alignment vertical="center" shrinkToFit="1"/>
    </xf>
    <xf numFmtId="0" fontId="24" fillId="0" borderId="1" xfId="3" applyNumberFormat="1" applyFont="1" applyFill="1" applyBorder="1" applyAlignment="1" applyProtection="1">
      <alignment horizontal="center"/>
    </xf>
    <xf numFmtId="170" fontId="23" fillId="0" borderId="1" xfId="3" applyNumberFormat="1" applyFont="1" applyBorder="1" applyAlignment="1">
      <alignment horizontal="center" vertical="center" shrinkToFit="1"/>
    </xf>
    <xf numFmtId="49" fontId="24" fillId="0" borderId="1" xfId="3" applyNumberFormat="1" applyFont="1" applyFill="1" applyBorder="1" applyAlignment="1" applyProtection="1">
      <alignment horizontal="center" shrinkToFit="1"/>
    </xf>
    <xf numFmtId="0" fontId="5" fillId="0" borderId="0" xfId="0" applyNumberFormat="1" applyFont="1"/>
    <xf numFmtId="0" fontId="5" fillId="0" borderId="0" xfId="0" applyFont="1" applyAlignment="1">
      <alignment horizontal="right"/>
    </xf>
    <xf numFmtId="0" fontId="5" fillId="0" borderId="0" xfId="0" applyFont="1" applyAlignment="1">
      <alignment horizontal="left"/>
    </xf>
    <xf numFmtId="0" fontId="7" fillId="0" borderId="0" xfId="0" applyFont="1" applyBorder="1"/>
    <xf numFmtId="0" fontId="25" fillId="0" borderId="0" xfId="0" applyFont="1" applyBorder="1"/>
    <xf numFmtId="0" fontId="0" fillId="0" borderId="0" xfId="0" applyBorder="1"/>
    <xf numFmtId="0" fontId="12" fillId="2" borderId="1" xfId="0" applyFont="1" applyFill="1" applyBorder="1" applyAlignment="1">
      <alignment horizontal="center" vertical="center"/>
    </xf>
    <xf numFmtId="0" fontId="12" fillId="2" borderId="1" xfId="0" applyFont="1" applyFill="1" applyBorder="1" applyAlignment="1">
      <alignment horizontal="center" vertical="center" wrapText="1"/>
    </xf>
    <xf numFmtId="165" fontId="13" fillId="2" borderId="2" xfId="1" applyNumberFormat="1" applyFont="1" applyFill="1" applyBorder="1" applyAlignment="1">
      <alignment horizontal="center" vertical="center" wrapText="1"/>
    </xf>
    <xf numFmtId="165" fontId="13" fillId="2" borderId="3" xfId="1" applyNumberFormat="1" applyFont="1" applyFill="1" applyBorder="1" applyAlignment="1">
      <alignment horizontal="center" vertical="center" wrapText="1"/>
    </xf>
    <xf numFmtId="166" fontId="12" fillId="2" borderId="1" xfId="1" applyNumberFormat="1" applyFont="1" applyFill="1" applyBorder="1" applyAlignment="1">
      <alignment horizontal="center" vertical="center" wrapText="1"/>
    </xf>
    <xf numFmtId="2" fontId="12" fillId="2" borderId="1" xfId="0" applyNumberFormat="1" applyFont="1" applyFill="1" applyBorder="1" applyAlignment="1">
      <alignment horizontal="center" vertical="center"/>
    </xf>
    <xf numFmtId="164" fontId="9" fillId="0" borderId="0" xfId="0" applyNumberFormat="1" applyFont="1" applyAlignment="1">
      <alignment horizontal="left"/>
    </xf>
  </cellXfs>
  <cellStyles count="5">
    <cellStyle name="Comma" xfId="1" builtinId="3"/>
    <cellStyle name="Comma 10 10" xfId="2" xr:uid="{02386BFD-6278-4C3A-8D72-7D7FED714BBD}"/>
    <cellStyle name="Comma 2" xfId="4" xr:uid="{4DD8F784-2322-4393-B76D-5788BBF25468}"/>
    <cellStyle name="Normal" xfId="0" builtinId="0"/>
    <cellStyle name="Normal 2" xfId="3" xr:uid="{29CA119B-FE43-4B63-B451-8C579866FD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9525</xdr:rowOff>
    </xdr:from>
    <xdr:to>
      <xdr:col>17</xdr:col>
      <xdr:colOff>274903</xdr:colOff>
      <xdr:row>29</xdr:row>
      <xdr:rowOff>37406</xdr:rowOff>
    </xdr:to>
    <xdr:pic>
      <xdr:nvPicPr>
        <xdr:cNvPr id="2" name="Picture 1">
          <a:extLst>
            <a:ext uri="{FF2B5EF4-FFF2-40B4-BE49-F238E27FC236}">
              <a16:creationId xmlns:a16="http://schemas.microsoft.com/office/drawing/2014/main" id="{A5ECDE64-5449-9DF7-4914-7F633F6DC317}"/>
            </a:ext>
          </a:extLst>
        </xdr:cNvPr>
        <xdr:cNvPicPr>
          <a:picLocks noChangeAspect="1"/>
        </xdr:cNvPicPr>
      </xdr:nvPicPr>
      <xdr:blipFill>
        <a:blip xmlns:r="http://schemas.openxmlformats.org/officeDocument/2006/relationships" r:embed="rId1"/>
        <a:stretch>
          <a:fillRect/>
        </a:stretch>
      </xdr:blipFill>
      <xdr:spPr>
        <a:xfrm>
          <a:off x="66675" y="9525"/>
          <a:ext cx="10571428" cy="55523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11</xdr:col>
      <xdr:colOff>167115</xdr:colOff>
      <xdr:row>22</xdr:row>
      <xdr:rowOff>180975</xdr:rowOff>
    </xdr:to>
    <xdr:pic>
      <xdr:nvPicPr>
        <xdr:cNvPr id="2" name="Picture 1">
          <a:extLst>
            <a:ext uri="{FF2B5EF4-FFF2-40B4-BE49-F238E27FC236}">
              <a16:creationId xmlns:a16="http://schemas.microsoft.com/office/drawing/2014/main" id="{BC503B9B-4993-240C-2BAE-DD350F436855}"/>
            </a:ext>
          </a:extLst>
        </xdr:cNvPr>
        <xdr:cNvPicPr>
          <a:picLocks noChangeAspect="1"/>
        </xdr:cNvPicPr>
      </xdr:nvPicPr>
      <xdr:blipFill>
        <a:blip xmlns:r="http://schemas.openxmlformats.org/officeDocument/2006/relationships" r:embed="rId1"/>
        <a:stretch>
          <a:fillRect/>
        </a:stretch>
      </xdr:blipFill>
      <xdr:spPr>
        <a:xfrm>
          <a:off x="0" y="571500"/>
          <a:ext cx="6872715" cy="3800475"/>
        </a:xfrm>
        <a:prstGeom prst="rect">
          <a:avLst/>
        </a:prstGeom>
      </xdr:spPr>
    </xdr:pic>
    <xdr:clientData/>
  </xdr:twoCellAnchor>
  <xdr:twoCellAnchor editAs="oneCell">
    <xdr:from>
      <xdr:col>11</xdr:col>
      <xdr:colOff>180975</xdr:colOff>
      <xdr:row>2</xdr:row>
      <xdr:rowOff>133350</xdr:rowOff>
    </xdr:from>
    <xdr:to>
      <xdr:col>24</xdr:col>
      <xdr:colOff>531837</xdr:colOff>
      <xdr:row>25</xdr:row>
      <xdr:rowOff>129373</xdr:rowOff>
    </xdr:to>
    <xdr:pic>
      <xdr:nvPicPr>
        <xdr:cNvPr id="3" name="Picture 2">
          <a:extLst>
            <a:ext uri="{FF2B5EF4-FFF2-40B4-BE49-F238E27FC236}">
              <a16:creationId xmlns:a16="http://schemas.microsoft.com/office/drawing/2014/main" id="{0B56683E-56B1-BC60-B7EC-1B8E43560A93}"/>
            </a:ext>
          </a:extLst>
        </xdr:cNvPr>
        <xdr:cNvPicPr>
          <a:picLocks noChangeAspect="1"/>
        </xdr:cNvPicPr>
      </xdr:nvPicPr>
      <xdr:blipFill>
        <a:blip xmlns:r="http://schemas.openxmlformats.org/officeDocument/2006/relationships" r:embed="rId2"/>
        <a:stretch>
          <a:fillRect/>
        </a:stretch>
      </xdr:blipFill>
      <xdr:spPr>
        <a:xfrm>
          <a:off x="6886575" y="514350"/>
          <a:ext cx="8275662" cy="437752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15</xdr:col>
      <xdr:colOff>388412</xdr:colOff>
      <xdr:row>30</xdr:row>
      <xdr:rowOff>94866</xdr:rowOff>
    </xdr:to>
    <xdr:pic>
      <xdr:nvPicPr>
        <xdr:cNvPr id="2" name="Picture 1">
          <a:extLst>
            <a:ext uri="{FF2B5EF4-FFF2-40B4-BE49-F238E27FC236}">
              <a16:creationId xmlns:a16="http://schemas.microsoft.com/office/drawing/2014/main" id="{111E350F-BAFC-2513-0893-9D89819CE4BB}"/>
            </a:ext>
          </a:extLst>
        </xdr:cNvPr>
        <xdr:cNvPicPr>
          <a:picLocks noChangeAspect="1"/>
        </xdr:cNvPicPr>
      </xdr:nvPicPr>
      <xdr:blipFill>
        <a:blip xmlns:r="http://schemas.openxmlformats.org/officeDocument/2006/relationships" r:embed="rId1"/>
        <a:stretch>
          <a:fillRect/>
        </a:stretch>
      </xdr:blipFill>
      <xdr:spPr>
        <a:xfrm>
          <a:off x="0" y="676275"/>
          <a:ext cx="9532412" cy="580986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132495</xdr:colOff>
      <xdr:row>44</xdr:row>
      <xdr:rowOff>132226</xdr:rowOff>
    </xdr:to>
    <xdr:pic>
      <xdr:nvPicPr>
        <xdr:cNvPr id="2" name="Picture 1">
          <a:extLst>
            <a:ext uri="{FF2B5EF4-FFF2-40B4-BE49-F238E27FC236}">
              <a16:creationId xmlns:a16="http://schemas.microsoft.com/office/drawing/2014/main" id="{C1BA81CC-BE72-FA3C-0738-E3E1F61E9AB8}"/>
            </a:ext>
          </a:extLst>
        </xdr:cNvPr>
        <xdr:cNvPicPr>
          <a:picLocks noChangeAspect="1"/>
        </xdr:cNvPicPr>
      </xdr:nvPicPr>
      <xdr:blipFill>
        <a:blip xmlns:r="http://schemas.openxmlformats.org/officeDocument/2006/relationships" r:embed="rId1"/>
        <a:stretch>
          <a:fillRect/>
        </a:stretch>
      </xdr:blipFill>
      <xdr:spPr>
        <a:xfrm>
          <a:off x="0" y="0"/>
          <a:ext cx="6838095" cy="8990476"/>
        </a:xfrm>
        <a:prstGeom prst="rect">
          <a:avLst/>
        </a:prstGeom>
      </xdr:spPr>
    </xdr:pic>
    <xdr:clientData/>
  </xdr:twoCellAnchor>
  <xdr:twoCellAnchor>
    <xdr:from>
      <xdr:col>6</xdr:col>
      <xdr:colOff>514350</xdr:colOff>
      <xdr:row>8</xdr:row>
      <xdr:rowOff>66675</xdr:rowOff>
    </xdr:from>
    <xdr:to>
      <xdr:col>9</xdr:col>
      <xdr:colOff>314325</xdr:colOff>
      <xdr:row>8</xdr:row>
      <xdr:rowOff>66675</xdr:rowOff>
    </xdr:to>
    <xdr:cxnSp macro="">
      <xdr:nvCxnSpPr>
        <xdr:cNvPr id="4" name="Straight Arrow Connector 3">
          <a:extLst>
            <a:ext uri="{FF2B5EF4-FFF2-40B4-BE49-F238E27FC236}">
              <a16:creationId xmlns:a16="http://schemas.microsoft.com/office/drawing/2014/main" id="{2BB635EB-C240-08B2-C7F7-7DE55064884C}"/>
            </a:ext>
          </a:extLst>
        </xdr:cNvPr>
        <xdr:cNvCxnSpPr/>
      </xdr:nvCxnSpPr>
      <xdr:spPr>
        <a:xfrm>
          <a:off x="4171950" y="1590675"/>
          <a:ext cx="1628775"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361950</xdr:colOff>
      <xdr:row>7</xdr:row>
      <xdr:rowOff>171450</xdr:rowOff>
    </xdr:from>
    <xdr:to>
      <xdr:col>11</xdr:col>
      <xdr:colOff>28575</xdr:colOff>
      <xdr:row>10</xdr:row>
      <xdr:rowOff>57150</xdr:rowOff>
    </xdr:to>
    <xdr:sp macro="" textlink="">
      <xdr:nvSpPr>
        <xdr:cNvPr id="5" name="Rectangle 4">
          <a:extLst>
            <a:ext uri="{FF2B5EF4-FFF2-40B4-BE49-F238E27FC236}">
              <a16:creationId xmlns:a16="http://schemas.microsoft.com/office/drawing/2014/main" id="{AD84BA0F-D81C-B349-30D0-E15CD82FE021}"/>
            </a:ext>
          </a:extLst>
        </xdr:cNvPr>
        <xdr:cNvSpPr/>
      </xdr:nvSpPr>
      <xdr:spPr>
        <a:xfrm>
          <a:off x="5848350" y="1504950"/>
          <a:ext cx="885825" cy="457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t>HILANGKAN</a:t>
          </a:r>
        </a:p>
      </xdr:txBody>
    </xdr:sp>
    <xdr:clientData/>
  </xdr:twoCellAnchor>
  <xdr:twoCellAnchor editAs="oneCell">
    <xdr:from>
      <xdr:col>11</xdr:col>
      <xdr:colOff>85725</xdr:colOff>
      <xdr:row>22</xdr:row>
      <xdr:rowOff>142875</xdr:rowOff>
    </xdr:from>
    <xdr:to>
      <xdr:col>23</xdr:col>
      <xdr:colOff>380049</xdr:colOff>
      <xdr:row>47</xdr:row>
      <xdr:rowOff>132756</xdr:rowOff>
    </xdr:to>
    <xdr:pic>
      <xdr:nvPicPr>
        <xdr:cNvPr id="6" name="Picture 5">
          <a:extLst>
            <a:ext uri="{FF2B5EF4-FFF2-40B4-BE49-F238E27FC236}">
              <a16:creationId xmlns:a16="http://schemas.microsoft.com/office/drawing/2014/main" id="{FCEA7FFC-F3D6-502A-47BA-BF4AC71EB56B}"/>
            </a:ext>
          </a:extLst>
        </xdr:cNvPr>
        <xdr:cNvPicPr>
          <a:picLocks noChangeAspect="1"/>
        </xdr:cNvPicPr>
      </xdr:nvPicPr>
      <xdr:blipFill>
        <a:blip xmlns:r="http://schemas.openxmlformats.org/officeDocument/2006/relationships" r:embed="rId2"/>
        <a:stretch>
          <a:fillRect/>
        </a:stretch>
      </xdr:blipFill>
      <xdr:spPr>
        <a:xfrm>
          <a:off x="6791325" y="4333875"/>
          <a:ext cx="7609524" cy="4752381"/>
        </a:xfrm>
        <a:prstGeom prst="rect">
          <a:avLst/>
        </a:prstGeom>
      </xdr:spPr>
    </xdr:pic>
    <xdr:clientData/>
  </xdr:twoCellAnchor>
  <xdr:twoCellAnchor>
    <xdr:from>
      <xdr:col>13</xdr:col>
      <xdr:colOff>0</xdr:colOff>
      <xdr:row>29</xdr:row>
      <xdr:rowOff>76200</xdr:rowOff>
    </xdr:from>
    <xdr:to>
      <xdr:col>15</xdr:col>
      <xdr:colOff>19050</xdr:colOff>
      <xdr:row>29</xdr:row>
      <xdr:rowOff>85725</xdr:rowOff>
    </xdr:to>
    <xdr:cxnSp macro="">
      <xdr:nvCxnSpPr>
        <xdr:cNvPr id="8" name="Straight Arrow Connector 7">
          <a:extLst>
            <a:ext uri="{FF2B5EF4-FFF2-40B4-BE49-F238E27FC236}">
              <a16:creationId xmlns:a16="http://schemas.microsoft.com/office/drawing/2014/main" id="{87EE9286-20FE-C401-0A96-4B91ECC3D3FD}"/>
            </a:ext>
          </a:extLst>
        </xdr:cNvPr>
        <xdr:cNvCxnSpPr/>
      </xdr:nvCxnSpPr>
      <xdr:spPr>
        <a:xfrm flipV="1">
          <a:off x="7924800" y="5600700"/>
          <a:ext cx="1238250" cy="9525"/>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123825</xdr:colOff>
      <xdr:row>29</xdr:row>
      <xdr:rowOff>19050</xdr:rowOff>
    </xdr:from>
    <xdr:to>
      <xdr:col>16</xdr:col>
      <xdr:colOff>438150</xdr:colOff>
      <xdr:row>30</xdr:row>
      <xdr:rowOff>142875</xdr:rowOff>
    </xdr:to>
    <xdr:sp macro="" textlink="">
      <xdr:nvSpPr>
        <xdr:cNvPr id="9" name="Rectangle 8">
          <a:extLst>
            <a:ext uri="{FF2B5EF4-FFF2-40B4-BE49-F238E27FC236}">
              <a16:creationId xmlns:a16="http://schemas.microsoft.com/office/drawing/2014/main" id="{E17F22CC-CFD1-197E-9E2A-E0D0F0BBDECB}"/>
            </a:ext>
          </a:extLst>
        </xdr:cNvPr>
        <xdr:cNvSpPr/>
      </xdr:nvSpPr>
      <xdr:spPr>
        <a:xfrm>
          <a:off x="9267825" y="5543550"/>
          <a:ext cx="923925" cy="314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t>HILANGKAN</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14</xdr:col>
      <xdr:colOff>46552</xdr:colOff>
      <xdr:row>37</xdr:row>
      <xdr:rowOff>18238</xdr:rowOff>
    </xdr:to>
    <xdr:pic>
      <xdr:nvPicPr>
        <xdr:cNvPr id="2" name="Picture 1">
          <a:extLst>
            <a:ext uri="{FF2B5EF4-FFF2-40B4-BE49-F238E27FC236}">
              <a16:creationId xmlns:a16="http://schemas.microsoft.com/office/drawing/2014/main" id="{8814B8AC-3048-F3F1-54A5-0F0311B7B45A}"/>
            </a:ext>
          </a:extLst>
        </xdr:cNvPr>
        <xdr:cNvPicPr>
          <a:picLocks noChangeAspect="1"/>
        </xdr:cNvPicPr>
      </xdr:nvPicPr>
      <xdr:blipFill>
        <a:blip xmlns:r="http://schemas.openxmlformats.org/officeDocument/2006/relationships" r:embed="rId1"/>
        <a:stretch>
          <a:fillRect/>
        </a:stretch>
      </xdr:blipFill>
      <xdr:spPr>
        <a:xfrm>
          <a:off x="0" y="571500"/>
          <a:ext cx="8580952" cy="6495238"/>
        </a:xfrm>
        <a:prstGeom prst="rect">
          <a:avLst/>
        </a:prstGeom>
      </xdr:spPr>
    </xdr:pic>
    <xdr:clientData/>
  </xdr:twoCellAnchor>
  <xdr:twoCellAnchor>
    <xdr:from>
      <xdr:col>11</xdr:col>
      <xdr:colOff>9525</xdr:colOff>
      <xdr:row>11</xdr:row>
      <xdr:rowOff>76200</xdr:rowOff>
    </xdr:from>
    <xdr:to>
      <xdr:col>13</xdr:col>
      <xdr:colOff>266700</xdr:colOff>
      <xdr:row>11</xdr:row>
      <xdr:rowOff>85725</xdr:rowOff>
    </xdr:to>
    <xdr:cxnSp macro="">
      <xdr:nvCxnSpPr>
        <xdr:cNvPr id="4" name="Straight Arrow Connector 3">
          <a:extLst>
            <a:ext uri="{FF2B5EF4-FFF2-40B4-BE49-F238E27FC236}">
              <a16:creationId xmlns:a16="http://schemas.microsoft.com/office/drawing/2014/main" id="{2503B051-C90D-191B-2346-5F1969832C8B}"/>
            </a:ext>
          </a:extLst>
        </xdr:cNvPr>
        <xdr:cNvCxnSpPr/>
      </xdr:nvCxnSpPr>
      <xdr:spPr>
        <a:xfrm>
          <a:off x="6715125" y="2171700"/>
          <a:ext cx="1476375" cy="9525"/>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323850</xdr:colOff>
      <xdr:row>10</xdr:row>
      <xdr:rowOff>180975</xdr:rowOff>
    </xdr:from>
    <xdr:to>
      <xdr:col>15</xdr:col>
      <xdr:colOff>123825</xdr:colOff>
      <xdr:row>14</xdr:row>
      <xdr:rowOff>66675</xdr:rowOff>
    </xdr:to>
    <xdr:sp macro="" textlink="">
      <xdr:nvSpPr>
        <xdr:cNvPr id="5" name="Rectangle 4">
          <a:extLst>
            <a:ext uri="{FF2B5EF4-FFF2-40B4-BE49-F238E27FC236}">
              <a16:creationId xmlns:a16="http://schemas.microsoft.com/office/drawing/2014/main" id="{17158778-EEC9-743D-3EE1-D316EB2F169F}"/>
            </a:ext>
          </a:extLst>
        </xdr:cNvPr>
        <xdr:cNvSpPr/>
      </xdr:nvSpPr>
      <xdr:spPr>
        <a:xfrm>
          <a:off x="8248650" y="2085975"/>
          <a:ext cx="1019175" cy="647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t>HILANGKAN</a:t>
          </a:r>
        </a:p>
      </xdr:txBody>
    </xdr:sp>
    <xdr:clientData/>
  </xdr:twoCellAnchor>
  <xdr:twoCellAnchor>
    <xdr:from>
      <xdr:col>8</xdr:col>
      <xdr:colOff>381000</xdr:colOff>
      <xdr:row>14</xdr:row>
      <xdr:rowOff>161925</xdr:rowOff>
    </xdr:from>
    <xdr:to>
      <xdr:col>9</xdr:col>
      <xdr:colOff>200025</xdr:colOff>
      <xdr:row>14</xdr:row>
      <xdr:rowOff>161925</xdr:rowOff>
    </xdr:to>
    <xdr:cxnSp macro="">
      <xdr:nvCxnSpPr>
        <xdr:cNvPr id="7" name="Straight Arrow Connector 6">
          <a:extLst>
            <a:ext uri="{FF2B5EF4-FFF2-40B4-BE49-F238E27FC236}">
              <a16:creationId xmlns:a16="http://schemas.microsoft.com/office/drawing/2014/main" id="{9EB896DE-7502-F33C-DF28-C2421EF2F5B7}"/>
            </a:ext>
          </a:extLst>
        </xdr:cNvPr>
        <xdr:cNvCxnSpPr/>
      </xdr:nvCxnSpPr>
      <xdr:spPr>
        <a:xfrm>
          <a:off x="5257800" y="2828925"/>
          <a:ext cx="428625"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295274</xdr:colOff>
      <xdr:row>14</xdr:row>
      <xdr:rowOff>85724</xdr:rowOff>
    </xdr:from>
    <xdr:to>
      <xdr:col>11</xdr:col>
      <xdr:colOff>323849</xdr:colOff>
      <xdr:row>18</xdr:row>
      <xdr:rowOff>171449</xdr:rowOff>
    </xdr:to>
    <xdr:sp macro="" textlink="">
      <xdr:nvSpPr>
        <xdr:cNvPr id="8" name="Rectangle 7">
          <a:extLst>
            <a:ext uri="{FF2B5EF4-FFF2-40B4-BE49-F238E27FC236}">
              <a16:creationId xmlns:a16="http://schemas.microsoft.com/office/drawing/2014/main" id="{BE7B8FD6-F60E-5D60-8815-B9012A32E158}"/>
            </a:ext>
          </a:extLst>
        </xdr:cNvPr>
        <xdr:cNvSpPr/>
      </xdr:nvSpPr>
      <xdr:spPr>
        <a:xfrm>
          <a:off x="5781674" y="2752724"/>
          <a:ext cx="1247775" cy="8477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t>TLG MUNCUL OTOMATIS UNTUK</a:t>
          </a:r>
          <a:r>
            <a:rPr lang="en-ID" sz="1100" baseline="0"/>
            <a:t> NOMOR, CUST, BULAN DAN THN</a:t>
          </a:r>
          <a:endParaRPr lang="en-ID" sz="1100"/>
        </a:p>
      </xdr:txBody>
    </xdr:sp>
    <xdr:clientData/>
  </xdr:twoCellAnchor>
  <xdr:twoCellAnchor>
    <xdr:from>
      <xdr:col>13</xdr:col>
      <xdr:colOff>504825</xdr:colOff>
      <xdr:row>25</xdr:row>
      <xdr:rowOff>171450</xdr:rowOff>
    </xdr:from>
    <xdr:to>
      <xdr:col>16</xdr:col>
      <xdr:colOff>152400</xdr:colOff>
      <xdr:row>25</xdr:row>
      <xdr:rowOff>180975</xdr:rowOff>
    </xdr:to>
    <xdr:cxnSp macro="">
      <xdr:nvCxnSpPr>
        <xdr:cNvPr id="10" name="Straight Arrow Connector 9">
          <a:extLst>
            <a:ext uri="{FF2B5EF4-FFF2-40B4-BE49-F238E27FC236}">
              <a16:creationId xmlns:a16="http://schemas.microsoft.com/office/drawing/2014/main" id="{B6C8F577-5821-481C-3D20-15A97CECC13C}"/>
            </a:ext>
          </a:extLst>
        </xdr:cNvPr>
        <xdr:cNvCxnSpPr/>
      </xdr:nvCxnSpPr>
      <xdr:spPr>
        <a:xfrm>
          <a:off x="8429625" y="4933950"/>
          <a:ext cx="1476375" cy="9525"/>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247650</xdr:colOff>
      <xdr:row>25</xdr:row>
      <xdr:rowOff>0</xdr:rowOff>
    </xdr:from>
    <xdr:to>
      <xdr:col>19</xdr:col>
      <xdr:colOff>171450</xdr:colOff>
      <xdr:row>30</xdr:row>
      <xdr:rowOff>171450</xdr:rowOff>
    </xdr:to>
    <xdr:sp macro="" textlink="">
      <xdr:nvSpPr>
        <xdr:cNvPr id="11" name="Rectangle 10">
          <a:extLst>
            <a:ext uri="{FF2B5EF4-FFF2-40B4-BE49-F238E27FC236}">
              <a16:creationId xmlns:a16="http://schemas.microsoft.com/office/drawing/2014/main" id="{AD1B456D-A467-E0D4-73B1-15632459B20B}"/>
            </a:ext>
          </a:extLst>
        </xdr:cNvPr>
        <xdr:cNvSpPr/>
      </xdr:nvSpPr>
      <xdr:spPr>
        <a:xfrm>
          <a:off x="10001250" y="4762500"/>
          <a:ext cx="1752600" cy="11239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t>BERDASARKAN FITUR</a:t>
          </a:r>
          <a:r>
            <a:rPr lang="en-ID" sz="1100" baseline="0"/>
            <a:t> PI, MANA SAJA YANG AKAN DIBUATKAN PI BISA DIPILIH BASED ON PO.</a:t>
          </a:r>
          <a:endParaRPr lang="en-ID" sz="1100"/>
        </a:p>
      </xdr:txBody>
    </xdr:sp>
    <xdr:clientData/>
  </xdr:twoCellAnchor>
  <xdr:twoCellAnchor>
    <xdr:from>
      <xdr:col>3</xdr:col>
      <xdr:colOff>76200</xdr:colOff>
      <xdr:row>22</xdr:row>
      <xdr:rowOff>9525</xdr:rowOff>
    </xdr:from>
    <xdr:to>
      <xdr:col>3</xdr:col>
      <xdr:colOff>600075</xdr:colOff>
      <xdr:row>22</xdr:row>
      <xdr:rowOff>9525</xdr:rowOff>
    </xdr:to>
    <xdr:cxnSp macro="">
      <xdr:nvCxnSpPr>
        <xdr:cNvPr id="13" name="Straight Arrow Connector 12">
          <a:extLst>
            <a:ext uri="{FF2B5EF4-FFF2-40B4-BE49-F238E27FC236}">
              <a16:creationId xmlns:a16="http://schemas.microsoft.com/office/drawing/2014/main" id="{18BA4AC9-19FA-0BC6-EE93-2F75FE0B7EA4}"/>
            </a:ext>
          </a:extLst>
        </xdr:cNvPr>
        <xdr:cNvCxnSpPr/>
      </xdr:nvCxnSpPr>
      <xdr:spPr>
        <a:xfrm>
          <a:off x="1905000" y="4200525"/>
          <a:ext cx="523875"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104774</xdr:colOff>
      <xdr:row>21</xdr:row>
      <xdr:rowOff>57150</xdr:rowOff>
    </xdr:from>
    <xdr:to>
      <xdr:col>7</xdr:col>
      <xdr:colOff>152399</xdr:colOff>
      <xdr:row>23</xdr:row>
      <xdr:rowOff>161925</xdr:rowOff>
    </xdr:to>
    <xdr:sp macro="" textlink="">
      <xdr:nvSpPr>
        <xdr:cNvPr id="14" name="Rectangle 13">
          <a:extLst>
            <a:ext uri="{FF2B5EF4-FFF2-40B4-BE49-F238E27FC236}">
              <a16:creationId xmlns:a16="http://schemas.microsoft.com/office/drawing/2014/main" id="{2B7B0DEB-98DC-F482-0722-8148D67176B0}"/>
            </a:ext>
          </a:extLst>
        </xdr:cNvPr>
        <xdr:cNvSpPr/>
      </xdr:nvSpPr>
      <xdr:spPr>
        <a:xfrm>
          <a:off x="2543174" y="4057650"/>
          <a:ext cx="1876425" cy="4857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t>LOCAL : DOOR TO DOOR</a:t>
          </a:r>
        </a:p>
        <a:p>
          <a:pPr algn="l"/>
          <a:r>
            <a:rPr lang="en-ID" sz="1100"/>
            <a:t>EXPORT</a:t>
          </a:r>
          <a:r>
            <a:rPr lang="en-ID" sz="1100" baseline="0"/>
            <a:t> : EX-WORK</a:t>
          </a:r>
          <a:endParaRPr lang="en-ID"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2</xdr:row>
      <xdr:rowOff>66675</xdr:rowOff>
    </xdr:from>
    <xdr:to>
      <xdr:col>26</xdr:col>
      <xdr:colOff>340876</xdr:colOff>
      <xdr:row>31</xdr:row>
      <xdr:rowOff>75508</xdr:rowOff>
    </xdr:to>
    <xdr:pic>
      <xdr:nvPicPr>
        <xdr:cNvPr id="2" name="Picture 1">
          <a:extLst>
            <a:ext uri="{FF2B5EF4-FFF2-40B4-BE49-F238E27FC236}">
              <a16:creationId xmlns:a16="http://schemas.microsoft.com/office/drawing/2014/main" id="{07A350F6-09A7-F294-796A-3AD5FC081C70}"/>
            </a:ext>
          </a:extLst>
        </xdr:cNvPr>
        <xdr:cNvPicPr>
          <a:picLocks noChangeAspect="1"/>
        </xdr:cNvPicPr>
      </xdr:nvPicPr>
      <xdr:blipFill>
        <a:blip xmlns:r="http://schemas.openxmlformats.org/officeDocument/2006/relationships" r:embed="rId1"/>
        <a:stretch>
          <a:fillRect/>
        </a:stretch>
      </xdr:blipFill>
      <xdr:spPr>
        <a:xfrm>
          <a:off x="0" y="447675"/>
          <a:ext cx="16190476" cy="5533333"/>
        </a:xfrm>
        <a:prstGeom prst="rect">
          <a:avLst/>
        </a:prstGeom>
      </xdr:spPr>
    </xdr:pic>
    <xdr:clientData/>
  </xdr:twoCellAnchor>
  <xdr:twoCellAnchor editAs="oneCell">
    <xdr:from>
      <xdr:col>4</xdr:col>
      <xdr:colOff>495300</xdr:colOff>
      <xdr:row>39</xdr:row>
      <xdr:rowOff>76200</xdr:rowOff>
    </xdr:from>
    <xdr:to>
      <xdr:col>15</xdr:col>
      <xdr:colOff>437319</xdr:colOff>
      <xdr:row>76</xdr:row>
      <xdr:rowOff>151503</xdr:rowOff>
    </xdr:to>
    <xdr:pic>
      <xdr:nvPicPr>
        <xdr:cNvPr id="3" name="Picture 2">
          <a:extLst>
            <a:ext uri="{FF2B5EF4-FFF2-40B4-BE49-F238E27FC236}">
              <a16:creationId xmlns:a16="http://schemas.microsoft.com/office/drawing/2014/main" id="{AF1D1202-AEB7-778E-7680-2EA63722E604}"/>
            </a:ext>
          </a:extLst>
        </xdr:cNvPr>
        <xdr:cNvPicPr>
          <a:picLocks noChangeAspect="1"/>
        </xdr:cNvPicPr>
      </xdr:nvPicPr>
      <xdr:blipFill>
        <a:blip xmlns:r="http://schemas.openxmlformats.org/officeDocument/2006/relationships" r:embed="rId2"/>
        <a:stretch>
          <a:fillRect/>
        </a:stretch>
      </xdr:blipFill>
      <xdr:spPr>
        <a:xfrm>
          <a:off x="2933700" y="7934325"/>
          <a:ext cx="6647619" cy="7171428"/>
        </a:xfrm>
        <a:prstGeom prst="rect">
          <a:avLst/>
        </a:prstGeom>
      </xdr:spPr>
    </xdr:pic>
    <xdr:clientData/>
  </xdr:twoCellAnchor>
  <xdr:twoCellAnchor editAs="oneCell">
    <xdr:from>
      <xdr:col>15</xdr:col>
      <xdr:colOff>457200</xdr:colOff>
      <xdr:row>39</xdr:row>
      <xdr:rowOff>95250</xdr:rowOff>
    </xdr:from>
    <xdr:to>
      <xdr:col>26</xdr:col>
      <xdr:colOff>418267</xdr:colOff>
      <xdr:row>60</xdr:row>
      <xdr:rowOff>9030</xdr:rowOff>
    </xdr:to>
    <xdr:pic>
      <xdr:nvPicPr>
        <xdr:cNvPr id="4" name="Picture 3">
          <a:extLst>
            <a:ext uri="{FF2B5EF4-FFF2-40B4-BE49-F238E27FC236}">
              <a16:creationId xmlns:a16="http://schemas.microsoft.com/office/drawing/2014/main" id="{6DAD2E9B-1697-BA0D-9C6E-35300CED30A1}"/>
            </a:ext>
          </a:extLst>
        </xdr:cNvPr>
        <xdr:cNvPicPr>
          <a:picLocks noChangeAspect="1"/>
        </xdr:cNvPicPr>
      </xdr:nvPicPr>
      <xdr:blipFill>
        <a:blip xmlns:r="http://schemas.openxmlformats.org/officeDocument/2006/relationships" r:embed="rId3"/>
        <a:stretch>
          <a:fillRect/>
        </a:stretch>
      </xdr:blipFill>
      <xdr:spPr>
        <a:xfrm>
          <a:off x="9601200" y="7953375"/>
          <a:ext cx="6666667" cy="39619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19882-3548-424C-BFAD-AF55A17BA297}">
  <dimension ref="S2"/>
  <sheetViews>
    <sheetView workbookViewId="0">
      <selection activeCell="S3" sqref="S3"/>
    </sheetView>
  </sheetViews>
  <sheetFormatPr defaultRowHeight="15" x14ac:dyDescent="0.25"/>
  <sheetData>
    <row r="2" spans="19:19" x14ac:dyDescent="0.25">
      <c r="S2" t="s">
        <v>25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4E5A7-DC51-402C-9349-E6C2D3A91521}">
  <dimension ref="A1:A35"/>
  <sheetViews>
    <sheetView topLeftCell="A22" workbookViewId="0">
      <selection activeCell="A36" sqref="A36"/>
    </sheetView>
  </sheetViews>
  <sheetFormatPr defaultRowHeight="15" x14ac:dyDescent="0.25"/>
  <sheetData>
    <row r="1" spans="1:1" ht="23.25" x14ac:dyDescent="0.35">
      <c r="A1" s="2" t="s">
        <v>0</v>
      </c>
    </row>
    <row r="28" spans="1:1" ht="21" x14ac:dyDescent="0.35">
      <c r="A28" s="5" t="s">
        <v>1</v>
      </c>
    </row>
    <row r="29" spans="1:1" ht="21" x14ac:dyDescent="0.35">
      <c r="A29" s="8" t="s">
        <v>2</v>
      </c>
    </row>
    <row r="30" spans="1:1" ht="21" x14ac:dyDescent="0.35">
      <c r="A30" s="5" t="s">
        <v>3</v>
      </c>
    </row>
    <row r="31" spans="1:1" ht="21" x14ac:dyDescent="0.35">
      <c r="A31" s="5" t="s">
        <v>4</v>
      </c>
    </row>
    <row r="32" spans="1:1" ht="21" x14ac:dyDescent="0.35">
      <c r="A32" s="5" t="s">
        <v>5</v>
      </c>
    </row>
    <row r="33" spans="1:1" ht="21" x14ac:dyDescent="0.35">
      <c r="A33" s="5" t="s">
        <v>6</v>
      </c>
    </row>
    <row r="34" spans="1:1" ht="21" x14ac:dyDescent="0.35">
      <c r="A34" s="5" t="s">
        <v>7</v>
      </c>
    </row>
    <row r="35" spans="1:1" ht="21" x14ac:dyDescent="0.35">
      <c r="A35" s="5" t="s">
        <v>211</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FF187-DFF6-4239-B5BF-D8D53A457707}">
  <dimension ref="A2:S16"/>
  <sheetViews>
    <sheetView workbookViewId="0">
      <selection activeCell="S16" sqref="S16"/>
    </sheetView>
  </sheetViews>
  <sheetFormatPr defaultRowHeight="15" x14ac:dyDescent="0.25"/>
  <sheetData>
    <row r="2" spans="1:19" ht="23.25" x14ac:dyDescent="0.35">
      <c r="A2" s="2" t="s">
        <v>8</v>
      </c>
    </row>
    <row r="5" spans="1:19" ht="18.75" x14ac:dyDescent="0.3">
      <c r="Q5" s="7" t="s">
        <v>2</v>
      </c>
      <c r="R5" s="3"/>
    </row>
    <row r="6" spans="1:19" ht="18.75" x14ac:dyDescent="0.3">
      <c r="Q6" s="3">
        <v>1</v>
      </c>
      <c r="R6" s="3" t="s">
        <v>9</v>
      </c>
    </row>
    <row r="7" spans="1:19" ht="18.75" x14ac:dyDescent="0.3">
      <c r="Q7" s="3">
        <v>2</v>
      </c>
      <c r="R7" s="3" t="s">
        <v>10</v>
      </c>
    </row>
    <row r="8" spans="1:19" ht="18.75" x14ac:dyDescent="0.3">
      <c r="Q8" s="3">
        <v>3</v>
      </c>
      <c r="R8" s="3" t="s">
        <v>11</v>
      </c>
    </row>
    <row r="9" spans="1:19" ht="18.75" x14ac:dyDescent="0.3">
      <c r="Q9" s="3">
        <v>4</v>
      </c>
      <c r="R9" s="3" t="s">
        <v>12</v>
      </c>
    </row>
    <row r="10" spans="1:19" ht="18.75" x14ac:dyDescent="0.3">
      <c r="R10" s="6" t="s">
        <v>13</v>
      </c>
      <c r="S10" s="3" t="s">
        <v>24</v>
      </c>
    </row>
    <row r="11" spans="1:19" ht="18.75" x14ac:dyDescent="0.3">
      <c r="R11" s="6" t="s">
        <v>14</v>
      </c>
      <c r="S11" s="3" t="s">
        <v>15</v>
      </c>
    </row>
    <row r="12" spans="1:19" ht="18.75" x14ac:dyDescent="0.3">
      <c r="R12" s="6" t="s">
        <v>16</v>
      </c>
      <c r="S12" s="3" t="s">
        <v>17</v>
      </c>
    </row>
    <row r="13" spans="1:19" ht="18.75" x14ac:dyDescent="0.3">
      <c r="R13" s="6" t="s">
        <v>18</v>
      </c>
      <c r="S13" s="3" t="s">
        <v>19</v>
      </c>
    </row>
    <row r="14" spans="1:19" ht="18.75" x14ac:dyDescent="0.3">
      <c r="R14" s="6" t="s">
        <v>20</v>
      </c>
      <c r="S14" s="3" t="s">
        <v>21</v>
      </c>
    </row>
    <row r="15" spans="1:19" ht="18.75" x14ac:dyDescent="0.3">
      <c r="R15" s="6" t="s">
        <v>22</v>
      </c>
      <c r="S15" s="3" t="s">
        <v>23</v>
      </c>
    </row>
    <row r="16" spans="1:19" ht="18.75" x14ac:dyDescent="0.3">
      <c r="R16" s="6" t="s">
        <v>99</v>
      </c>
      <c r="S16" s="3" t="s">
        <v>100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8DE03-DE9F-4CD6-AF51-F333532CF72B}">
  <dimension ref="A1:AJ26"/>
  <sheetViews>
    <sheetView topLeftCell="A13" workbookViewId="0">
      <selection activeCell="G20" sqref="G20"/>
    </sheetView>
  </sheetViews>
  <sheetFormatPr defaultRowHeight="15" x14ac:dyDescent="0.25"/>
  <cols>
    <col min="2" max="2" width="22.5703125" customWidth="1"/>
    <col min="8" max="8" width="12.85546875" bestFit="1" customWidth="1"/>
    <col min="13" max="13" width="13.42578125" bestFit="1" customWidth="1"/>
    <col min="15" max="15" width="13.42578125" bestFit="1" customWidth="1"/>
    <col min="16" max="16" width="11.5703125" bestFit="1" customWidth="1"/>
    <col min="21" max="21" width="11.85546875" bestFit="1" customWidth="1"/>
    <col min="22" max="22" width="15.42578125" bestFit="1" customWidth="1"/>
    <col min="23" max="23" width="17.140625" customWidth="1"/>
    <col min="24" max="24" width="12" customWidth="1"/>
  </cols>
  <sheetData>
    <row r="1" spans="1:36" ht="28.5" x14ac:dyDescent="0.45">
      <c r="A1" s="23" t="s">
        <v>85</v>
      </c>
    </row>
    <row r="3" spans="1:36" ht="23.25" x14ac:dyDescent="0.35">
      <c r="A3" s="57"/>
      <c r="B3" s="57"/>
      <c r="C3" s="57"/>
      <c r="M3" s="9">
        <v>250375.60000000003</v>
      </c>
      <c r="U3" s="9">
        <v>35707.799999999996</v>
      </c>
      <c r="V3" s="10">
        <v>210207.7</v>
      </c>
      <c r="W3" s="11"/>
    </row>
    <row r="4" spans="1:36" ht="18" x14ac:dyDescent="0.25">
      <c r="A4" s="51" t="s">
        <v>26</v>
      </c>
      <c r="B4" s="51" t="s">
        <v>27</v>
      </c>
      <c r="C4" s="52" t="s">
        <v>28</v>
      </c>
      <c r="D4" s="51" t="s">
        <v>29</v>
      </c>
      <c r="E4" s="52" t="s">
        <v>30</v>
      </c>
      <c r="F4" s="51" t="s">
        <v>31</v>
      </c>
      <c r="G4" s="52" t="s">
        <v>32</v>
      </c>
      <c r="H4" s="51" t="s">
        <v>33</v>
      </c>
      <c r="I4" s="51" t="s">
        <v>34</v>
      </c>
      <c r="J4" s="52" t="s">
        <v>35</v>
      </c>
      <c r="K4" s="51" t="s">
        <v>36</v>
      </c>
      <c r="L4" s="52" t="s">
        <v>37</v>
      </c>
      <c r="M4" s="51" t="s">
        <v>38</v>
      </c>
      <c r="N4" s="56" t="s">
        <v>39</v>
      </c>
      <c r="O4" s="51" t="s">
        <v>40</v>
      </c>
      <c r="P4" s="51" t="s">
        <v>41</v>
      </c>
      <c r="Q4" s="51" t="s">
        <v>42</v>
      </c>
      <c r="R4" s="51" t="s">
        <v>43</v>
      </c>
      <c r="S4" s="51" t="s">
        <v>44</v>
      </c>
      <c r="T4" s="52" t="s">
        <v>45</v>
      </c>
      <c r="U4" s="53" t="s">
        <v>46</v>
      </c>
      <c r="V4" s="55" t="s">
        <v>47</v>
      </c>
      <c r="W4" s="51" t="s">
        <v>48</v>
      </c>
      <c r="X4" s="51" t="s">
        <v>84</v>
      </c>
      <c r="Y4" s="51" t="s">
        <v>121</v>
      </c>
      <c r="Z4" s="51"/>
      <c r="AA4" s="51" t="s">
        <v>122</v>
      </c>
      <c r="AB4" s="51"/>
      <c r="AC4" s="51" t="s">
        <v>123</v>
      </c>
      <c r="AD4" s="51"/>
      <c r="AE4" s="51" t="s">
        <v>124</v>
      </c>
      <c r="AF4" s="51"/>
      <c r="AG4" s="51" t="s">
        <v>125</v>
      </c>
      <c r="AH4" s="51"/>
      <c r="AI4" s="51" t="s">
        <v>126</v>
      </c>
      <c r="AJ4" s="51"/>
    </row>
    <row r="5" spans="1:36" ht="44.25" customHeight="1" x14ac:dyDescent="0.25">
      <c r="A5" s="51"/>
      <c r="B5" s="51"/>
      <c r="C5" s="52"/>
      <c r="D5" s="51"/>
      <c r="E5" s="52"/>
      <c r="F5" s="51"/>
      <c r="G5" s="52"/>
      <c r="H5" s="51"/>
      <c r="I5" s="51"/>
      <c r="J5" s="51"/>
      <c r="K5" s="51"/>
      <c r="L5" s="52"/>
      <c r="M5" s="51"/>
      <c r="N5" s="56"/>
      <c r="O5" s="51"/>
      <c r="P5" s="51"/>
      <c r="Q5" s="51"/>
      <c r="R5" s="51"/>
      <c r="S5" s="51"/>
      <c r="T5" s="52"/>
      <c r="U5" s="54"/>
      <c r="V5" s="55"/>
      <c r="W5" s="51"/>
      <c r="X5" s="51"/>
      <c r="Y5" s="35" t="s">
        <v>127</v>
      </c>
      <c r="Z5" s="36" t="s">
        <v>128</v>
      </c>
      <c r="AA5" s="35" t="s">
        <v>127</v>
      </c>
      <c r="AB5" s="36" t="s">
        <v>128</v>
      </c>
      <c r="AC5" s="35" t="s">
        <v>127</v>
      </c>
      <c r="AD5" s="36" t="s">
        <v>128</v>
      </c>
      <c r="AE5" s="35" t="s">
        <v>127</v>
      </c>
      <c r="AF5" s="36" t="s">
        <v>128</v>
      </c>
      <c r="AG5" s="35" t="s">
        <v>127</v>
      </c>
      <c r="AH5" s="36" t="s">
        <v>128</v>
      </c>
      <c r="AI5" s="35" t="s">
        <v>127</v>
      </c>
      <c r="AJ5" s="36" t="s">
        <v>128</v>
      </c>
    </row>
    <row r="6" spans="1:36" ht="54" x14ac:dyDescent="0.3">
      <c r="A6" s="12">
        <v>46079</v>
      </c>
      <c r="B6" s="13" t="s">
        <v>49</v>
      </c>
      <c r="C6" s="13" t="s">
        <v>50</v>
      </c>
      <c r="D6" s="13" t="s">
        <v>51</v>
      </c>
      <c r="E6" s="13" t="s">
        <v>52</v>
      </c>
      <c r="F6" s="13">
        <v>4004365389</v>
      </c>
      <c r="G6" s="13" t="s">
        <v>53</v>
      </c>
      <c r="H6" s="13" t="s">
        <v>54</v>
      </c>
      <c r="I6" s="13"/>
      <c r="J6" s="13" t="s">
        <v>55</v>
      </c>
      <c r="K6" s="13" t="s">
        <v>56</v>
      </c>
      <c r="L6" s="13" t="s">
        <v>57</v>
      </c>
      <c r="M6" s="14">
        <v>253</v>
      </c>
      <c r="N6" s="15">
        <v>1.33</v>
      </c>
      <c r="O6" s="13" t="s">
        <v>58</v>
      </c>
      <c r="P6" s="13" t="s">
        <v>59</v>
      </c>
      <c r="Q6" s="13" t="s">
        <v>60</v>
      </c>
      <c r="R6" s="13" t="s">
        <v>60</v>
      </c>
      <c r="S6" s="16" t="s">
        <v>61</v>
      </c>
      <c r="T6" s="17">
        <v>46111</v>
      </c>
      <c r="U6" s="18">
        <v>35.799999999999997</v>
      </c>
      <c r="V6" s="19">
        <v>0</v>
      </c>
      <c r="W6" s="20" t="s">
        <v>62</v>
      </c>
      <c r="X6" s="20"/>
      <c r="Y6" s="37">
        <v>217.2</v>
      </c>
      <c r="Z6" s="38">
        <v>46118</v>
      </c>
      <c r="AA6" s="33"/>
      <c r="AB6" s="33"/>
      <c r="AC6" s="33"/>
      <c r="AD6" s="33"/>
      <c r="AE6" s="33"/>
      <c r="AF6" s="33"/>
      <c r="AG6" s="33"/>
      <c r="AH6" s="33"/>
      <c r="AI6" s="33"/>
      <c r="AJ6" s="33"/>
    </row>
    <row r="7" spans="1:36" ht="54" x14ac:dyDescent="0.25">
      <c r="A7" s="12">
        <v>46079</v>
      </c>
      <c r="B7" s="13" t="s">
        <v>63</v>
      </c>
      <c r="C7" s="13" t="s">
        <v>64</v>
      </c>
      <c r="D7" s="13" t="s">
        <v>51</v>
      </c>
      <c r="E7" s="13" t="s">
        <v>52</v>
      </c>
      <c r="F7" s="13" t="s">
        <v>65</v>
      </c>
      <c r="G7" s="13" t="s">
        <v>53</v>
      </c>
      <c r="H7" s="13" t="s">
        <v>66</v>
      </c>
      <c r="I7" s="13"/>
      <c r="J7" s="13" t="s">
        <v>55</v>
      </c>
      <c r="K7" s="13" t="s">
        <v>67</v>
      </c>
      <c r="L7" s="13" t="s">
        <v>57</v>
      </c>
      <c r="M7" s="14">
        <v>810</v>
      </c>
      <c r="N7" s="15">
        <v>1.33</v>
      </c>
      <c r="O7" s="13" t="s">
        <v>58</v>
      </c>
      <c r="P7" s="13" t="s">
        <v>59</v>
      </c>
      <c r="Q7" s="13" t="s">
        <v>60</v>
      </c>
      <c r="R7" s="13" t="s">
        <v>68</v>
      </c>
      <c r="S7" s="16" t="s">
        <v>61</v>
      </c>
      <c r="T7" s="17">
        <v>46111</v>
      </c>
      <c r="U7" s="18">
        <v>810</v>
      </c>
      <c r="V7" s="19">
        <v>0</v>
      </c>
      <c r="W7" s="20" t="s">
        <v>69</v>
      </c>
      <c r="X7" s="20"/>
    </row>
    <row r="8" spans="1:36" ht="81" x14ac:dyDescent="0.25">
      <c r="A8" s="24">
        <v>46097</v>
      </c>
      <c r="B8" s="25" t="s">
        <v>86</v>
      </c>
      <c r="C8" s="25" t="s">
        <v>87</v>
      </c>
      <c r="D8" s="25" t="s">
        <v>51</v>
      </c>
      <c r="E8" s="25" t="s">
        <v>88</v>
      </c>
      <c r="F8" s="25" t="s">
        <v>89</v>
      </c>
      <c r="G8" s="25" t="s">
        <v>53</v>
      </c>
      <c r="H8" s="25" t="s">
        <v>54</v>
      </c>
      <c r="I8" s="25"/>
      <c r="J8" s="25" t="s">
        <v>55</v>
      </c>
      <c r="K8" s="25" t="s">
        <v>71</v>
      </c>
      <c r="L8" s="25" t="s">
        <v>57</v>
      </c>
      <c r="M8" s="26">
        <v>30</v>
      </c>
      <c r="N8" s="27">
        <v>1.33</v>
      </c>
      <c r="O8" s="25" t="s">
        <v>58</v>
      </c>
      <c r="P8" s="25" t="s">
        <v>59</v>
      </c>
      <c r="Q8" s="25" t="s">
        <v>60</v>
      </c>
      <c r="R8" s="25" t="s">
        <v>90</v>
      </c>
      <c r="S8" s="28" t="s">
        <v>91</v>
      </c>
      <c r="T8" s="29">
        <v>46118</v>
      </c>
      <c r="U8" s="25"/>
      <c r="V8" s="30">
        <f t="shared" ref="V8:V9" si="0">M8-U8-Z8-AB8-AD8-AF8-AH8</f>
        <v>30</v>
      </c>
      <c r="W8" s="31" t="s">
        <v>92</v>
      </c>
      <c r="X8" s="20"/>
    </row>
    <row r="9" spans="1:36" ht="81" x14ac:dyDescent="0.25">
      <c r="A9" s="24">
        <v>46114</v>
      </c>
      <c r="B9" s="25" t="s">
        <v>93</v>
      </c>
      <c r="C9" s="25" t="s">
        <v>87</v>
      </c>
      <c r="D9" s="25" t="s">
        <v>51</v>
      </c>
      <c r="E9" s="25" t="s">
        <v>88</v>
      </c>
      <c r="F9" s="25" t="s">
        <v>94</v>
      </c>
      <c r="G9" s="25" t="s">
        <v>53</v>
      </c>
      <c r="H9" s="25" t="s">
        <v>54</v>
      </c>
      <c r="I9" s="25"/>
      <c r="J9" s="25" t="s">
        <v>55</v>
      </c>
      <c r="K9" s="25" t="s">
        <v>95</v>
      </c>
      <c r="L9" s="25" t="s">
        <v>57</v>
      </c>
      <c r="M9" s="26">
        <v>60</v>
      </c>
      <c r="N9" s="27">
        <v>1.33</v>
      </c>
      <c r="O9" s="25" t="s">
        <v>58</v>
      </c>
      <c r="P9" s="25" t="s">
        <v>59</v>
      </c>
      <c r="Q9" s="25" t="s">
        <v>60</v>
      </c>
      <c r="R9" s="25" t="s">
        <v>96</v>
      </c>
      <c r="S9" s="28" t="s">
        <v>97</v>
      </c>
      <c r="T9" s="29">
        <v>46126</v>
      </c>
      <c r="U9" s="25"/>
      <c r="V9" s="30">
        <f t="shared" si="0"/>
        <v>60</v>
      </c>
      <c r="W9" s="31" t="s">
        <v>98</v>
      </c>
      <c r="X9" s="20"/>
    </row>
    <row r="10" spans="1:36" ht="54" x14ac:dyDescent="0.25">
      <c r="A10" s="12">
        <v>46094</v>
      </c>
      <c r="B10" s="13" t="s">
        <v>72</v>
      </c>
      <c r="C10" s="13" t="s">
        <v>64</v>
      </c>
      <c r="D10" s="13" t="s">
        <v>51</v>
      </c>
      <c r="E10" s="13" t="s">
        <v>73</v>
      </c>
      <c r="F10" s="13" t="s">
        <v>74</v>
      </c>
      <c r="G10" s="13" t="s">
        <v>53</v>
      </c>
      <c r="H10" s="13" t="s">
        <v>54</v>
      </c>
      <c r="I10" s="13"/>
      <c r="J10" s="13" t="s">
        <v>55</v>
      </c>
      <c r="K10" s="13" t="s">
        <v>75</v>
      </c>
      <c r="L10" s="13" t="s">
        <v>57</v>
      </c>
      <c r="M10" s="14">
        <v>225</v>
      </c>
      <c r="N10" s="15">
        <v>1.33</v>
      </c>
      <c r="O10" s="13" t="s">
        <v>58</v>
      </c>
      <c r="P10" s="13"/>
      <c r="Q10" s="13" t="s">
        <v>76</v>
      </c>
      <c r="R10" s="13"/>
      <c r="S10" s="16" t="s">
        <v>77</v>
      </c>
      <c r="T10" s="17">
        <v>46113</v>
      </c>
      <c r="U10" s="21">
        <v>225.6</v>
      </c>
      <c r="V10" s="19">
        <v>-0.59999999999999432</v>
      </c>
      <c r="W10" s="20" t="s">
        <v>78</v>
      </c>
      <c r="X10" s="20"/>
    </row>
    <row r="11" spans="1:36" ht="54" x14ac:dyDescent="0.25">
      <c r="A11" s="12">
        <v>46098</v>
      </c>
      <c r="B11" s="13" t="s">
        <v>79</v>
      </c>
      <c r="C11" s="13" t="s">
        <v>64</v>
      </c>
      <c r="D11" s="13" t="s">
        <v>51</v>
      </c>
      <c r="E11" s="13" t="s">
        <v>73</v>
      </c>
      <c r="F11" s="13" t="s">
        <v>80</v>
      </c>
      <c r="G11" s="13" t="s">
        <v>53</v>
      </c>
      <c r="H11" s="13" t="s">
        <v>54</v>
      </c>
      <c r="I11" s="13"/>
      <c r="J11" s="13" t="s">
        <v>55</v>
      </c>
      <c r="K11" s="13" t="s">
        <v>81</v>
      </c>
      <c r="L11" s="13" t="s">
        <v>57</v>
      </c>
      <c r="M11" s="14">
        <v>100</v>
      </c>
      <c r="N11" s="15">
        <v>1.33</v>
      </c>
      <c r="O11" s="13" t="s">
        <v>58</v>
      </c>
      <c r="P11" s="13" t="s">
        <v>59</v>
      </c>
      <c r="Q11" s="13" t="s">
        <v>60</v>
      </c>
      <c r="R11" s="13" t="s">
        <v>60</v>
      </c>
      <c r="S11" s="16" t="s">
        <v>82</v>
      </c>
      <c r="T11" s="17">
        <v>46112</v>
      </c>
      <c r="U11" s="21"/>
      <c r="V11" s="19">
        <v>100</v>
      </c>
      <c r="W11" s="20" t="s">
        <v>83</v>
      </c>
      <c r="X11" s="20"/>
    </row>
    <row r="12" spans="1:36" s="33" customFormat="1" ht="20.25" customHeight="1" x14ac:dyDescent="0.3">
      <c r="A12" s="12">
        <v>46112</v>
      </c>
      <c r="B12" s="13" t="s">
        <v>101</v>
      </c>
      <c r="C12" s="13" t="s">
        <v>70</v>
      </c>
      <c r="D12" s="13" t="s">
        <v>51</v>
      </c>
      <c r="E12" s="13" t="s">
        <v>102</v>
      </c>
      <c r="F12" s="13" t="s">
        <v>103</v>
      </c>
      <c r="G12" s="13" t="s">
        <v>53</v>
      </c>
      <c r="H12" s="13" t="s">
        <v>54</v>
      </c>
      <c r="I12" s="13"/>
      <c r="J12" s="13" t="s">
        <v>55</v>
      </c>
      <c r="K12" s="13" t="s">
        <v>104</v>
      </c>
      <c r="L12" s="13" t="s">
        <v>57</v>
      </c>
      <c r="M12" s="14">
        <v>220</v>
      </c>
      <c r="N12" s="15">
        <v>1.33</v>
      </c>
      <c r="O12" s="13" t="s">
        <v>58</v>
      </c>
      <c r="P12" s="13" t="s">
        <v>59</v>
      </c>
      <c r="Q12" s="13" t="s">
        <v>60</v>
      </c>
      <c r="R12" s="13" t="s">
        <v>60</v>
      </c>
      <c r="S12" s="16" t="s">
        <v>97</v>
      </c>
      <c r="T12" s="17">
        <v>46126</v>
      </c>
      <c r="U12" s="18"/>
      <c r="V12" s="19">
        <f t="shared" ref="V12:V13" si="1">M12-U12-Z12-AB12-AD12-AF12-AH12</f>
        <v>220</v>
      </c>
      <c r="W12" s="20" t="s">
        <v>105</v>
      </c>
      <c r="X12" s="17"/>
      <c r="Y12" s="13"/>
      <c r="Z12" s="21"/>
      <c r="AA12" s="32"/>
    </row>
    <row r="13" spans="1:36" s="33" customFormat="1" ht="20.25" customHeight="1" x14ac:dyDescent="0.3">
      <c r="A13" s="12">
        <v>46114</v>
      </c>
      <c r="B13" s="13" t="s">
        <v>106</v>
      </c>
      <c r="C13" s="13" t="s">
        <v>70</v>
      </c>
      <c r="D13" s="13" t="s">
        <v>51</v>
      </c>
      <c r="E13" s="13" t="s">
        <v>102</v>
      </c>
      <c r="F13" s="13" t="s">
        <v>107</v>
      </c>
      <c r="G13" s="13" t="s">
        <v>53</v>
      </c>
      <c r="H13" s="13" t="s">
        <v>54</v>
      </c>
      <c r="I13" s="13"/>
      <c r="J13" s="13" t="s">
        <v>55</v>
      </c>
      <c r="K13" s="13" t="s">
        <v>108</v>
      </c>
      <c r="L13" s="13" t="s">
        <v>57</v>
      </c>
      <c r="M13" s="14">
        <v>100</v>
      </c>
      <c r="N13" s="15">
        <v>1.33</v>
      </c>
      <c r="O13" s="13" t="s">
        <v>58</v>
      </c>
      <c r="P13" s="13" t="s">
        <v>59</v>
      </c>
      <c r="Q13" s="13" t="s">
        <v>60</v>
      </c>
      <c r="R13" s="13" t="s">
        <v>60</v>
      </c>
      <c r="S13" s="16" t="s">
        <v>109</v>
      </c>
      <c r="T13" s="17">
        <v>46136</v>
      </c>
      <c r="U13" s="18"/>
      <c r="V13" s="19">
        <f t="shared" si="1"/>
        <v>100</v>
      </c>
      <c r="W13" s="20" t="s">
        <v>110</v>
      </c>
      <c r="X13" s="17"/>
      <c r="Y13" s="13"/>
      <c r="Z13" s="21"/>
      <c r="AA13" s="32"/>
    </row>
    <row r="15" spans="1:36" ht="21" x14ac:dyDescent="0.35">
      <c r="A15" s="34" t="s">
        <v>2</v>
      </c>
    </row>
    <row r="16" spans="1:36" ht="28.5" customHeight="1" x14ac:dyDescent="0.35">
      <c r="A16" s="45">
        <v>1</v>
      </c>
      <c r="B16" s="4" t="s">
        <v>111</v>
      </c>
    </row>
    <row r="17" spans="1:2" ht="28.5" customHeight="1" x14ac:dyDescent="0.35">
      <c r="A17" s="45">
        <v>2</v>
      </c>
      <c r="B17" s="4" t="s">
        <v>112</v>
      </c>
    </row>
    <row r="18" spans="1:2" ht="28.5" customHeight="1" x14ac:dyDescent="0.35">
      <c r="A18" s="45">
        <v>3</v>
      </c>
      <c r="B18" s="4" t="s">
        <v>113</v>
      </c>
    </row>
    <row r="19" spans="1:2" ht="28.5" customHeight="1" x14ac:dyDescent="0.35">
      <c r="A19" s="45">
        <v>4</v>
      </c>
      <c r="B19" s="4" t="s">
        <v>114</v>
      </c>
    </row>
    <row r="20" spans="1:2" ht="28.5" customHeight="1" x14ac:dyDescent="0.35">
      <c r="A20" s="45">
        <v>5</v>
      </c>
      <c r="B20" s="4" t="s">
        <v>115</v>
      </c>
    </row>
    <row r="21" spans="1:2" ht="28.5" customHeight="1" x14ac:dyDescent="0.35">
      <c r="A21" s="45">
        <v>6</v>
      </c>
      <c r="B21" s="4" t="s">
        <v>116</v>
      </c>
    </row>
    <row r="22" spans="1:2" ht="28.5" customHeight="1" x14ac:dyDescent="0.35">
      <c r="A22" s="45">
        <v>7</v>
      </c>
      <c r="B22" s="4" t="s">
        <v>117</v>
      </c>
    </row>
    <row r="23" spans="1:2" ht="28.5" customHeight="1" x14ac:dyDescent="0.35">
      <c r="A23" s="45">
        <v>8</v>
      </c>
      <c r="B23" s="4" t="s">
        <v>118</v>
      </c>
    </row>
    <row r="24" spans="1:2" ht="28.5" customHeight="1" x14ac:dyDescent="0.35">
      <c r="A24" s="45">
        <v>9</v>
      </c>
      <c r="B24" s="4" t="s">
        <v>119</v>
      </c>
    </row>
    <row r="25" spans="1:2" ht="28.5" customHeight="1" x14ac:dyDescent="0.35">
      <c r="A25" s="45">
        <v>10</v>
      </c>
      <c r="B25" s="4" t="s">
        <v>120</v>
      </c>
    </row>
    <row r="26" spans="1:2" ht="28.5" customHeight="1" x14ac:dyDescent="0.35">
      <c r="A26" s="45">
        <v>11</v>
      </c>
      <c r="B26" s="4" t="s">
        <v>129</v>
      </c>
    </row>
  </sheetData>
  <mergeCells count="31">
    <mergeCell ref="K4:K5"/>
    <mergeCell ref="A3:C3"/>
    <mergeCell ref="A4:A5"/>
    <mergeCell ref="B4:B5"/>
    <mergeCell ref="C4:C5"/>
    <mergeCell ref="D4:D5"/>
    <mergeCell ref="E4:E5"/>
    <mergeCell ref="F4:F5"/>
    <mergeCell ref="G4:G5"/>
    <mergeCell ref="H4:H5"/>
    <mergeCell ref="I4:I5"/>
    <mergeCell ref="J4:J5"/>
    <mergeCell ref="W4:W5"/>
    <mergeCell ref="L4:L5"/>
    <mergeCell ref="M4:M5"/>
    <mergeCell ref="N4:N5"/>
    <mergeCell ref="O4:O5"/>
    <mergeCell ref="P4:P5"/>
    <mergeCell ref="Q4:Q5"/>
    <mergeCell ref="R4:R5"/>
    <mergeCell ref="S4:S5"/>
    <mergeCell ref="T4:T5"/>
    <mergeCell ref="U4:U5"/>
    <mergeCell ref="V4:V5"/>
    <mergeCell ref="AE4:AF4"/>
    <mergeCell ref="AG4:AH4"/>
    <mergeCell ref="AI4:AJ4"/>
    <mergeCell ref="X4:X5"/>
    <mergeCell ref="Y4:Z4"/>
    <mergeCell ref="AA4:AB4"/>
    <mergeCell ref="AC4:AD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54AF4-5AD5-4869-95F4-3D0E58131908}">
  <dimension ref="M3:O17"/>
  <sheetViews>
    <sheetView workbookViewId="0">
      <selection activeCell="W17" sqref="W17"/>
    </sheetView>
  </sheetViews>
  <sheetFormatPr defaultRowHeight="15" x14ac:dyDescent="0.25"/>
  <sheetData>
    <row r="3" spans="13:15" ht="18.75" x14ac:dyDescent="0.3">
      <c r="M3" s="7" t="s">
        <v>134</v>
      </c>
      <c r="N3" s="3"/>
    </row>
    <row r="4" spans="13:15" ht="18.75" x14ac:dyDescent="0.3">
      <c r="M4" s="3">
        <v>1</v>
      </c>
      <c r="N4" s="3" t="s">
        <v>130</v>
      </c>
    </row>
    <row r="5" spans="13:15" ht="18.75" x14ac:dyDescent="0.3">
      <c r="M5" s="3">
        <v>2</v>
      </c>
      <c r="N5" s="3" t="s">
        <v>131</v>
      </c>
    </row>
    <row r="6" spans="13:15" ht="18.75" x14ac:dyDescent="0.3">
      <c r="M6" s="3">
        <v>3</v>
      </c>
      <c r="N6" s="3" t="s">
        <v>132</v>
      </c>
    </row>
    <row r="7" spans="13:15" ht="18.75" x14ac:dyDescent="0.3">
      <c r="M7" s="3">
        <v>4</v>
      </c>
      <c r="N7" s="3" t="s">
        <v>133</v>
      </c>
    </row>
    <row r="8" spans="13:15" ht="18.75" x14ac:dyDescent="0.3">
      <c r="M8" s="3">
        <v>5</v>
      </c>
      <c r="N8" s="3" t="s">
        <v>138</v>
      </c>
    </row>
    <row r="14" spans="13:15" ht="18.75" x14ac:dyDescent="0.3">
      <c r="M14" s="7" t="s">
        <v>135</v>
      </c>
      <c r="N14" s="3"/>
      <c r="O14" s="3"/>
    </row>
    <row r="15" spans="13:15" ht="18.75" x14ac:dyDescent="0.3">
      <c r="M15" s="3">
        <v>1</v>
      </c>
      <c r="N15" s="3" t="s">
        <v>130</v>
      </c>
      <c r="O15" s="3"/>
    </row>
    <row r="16" spans="13:15" ht="18.75" x14ac:dyDescent="0.3">
      <c r="M16" s="3">
        <v>2</v>
      </c>
      <c r="N16" s="3" t="s">
        <v>136</v>
      </c>
      <c r="O16" s="3"/>
    </row>
    <row r="17" spans="13:15" ht="18.75" x14ac:dyDescent="0.3">
      <c r="M17" s="3">
        <v>3</v>
      </c>
      <c r="N17" s="3" t="s">
        <v>137</v>
      </c>
      <c r="O17" s="3"/>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9E75F-1649-445E-BCC6-3ACB72F20ACD}">
  <dimension ref="A1:X18"/>
  <sheetViews>
    <sheetView workbookViewId="0">
      <selection activeCell="A19" sqref="A19"/>
    </sheetView>
  </sheetViews>
  <sheetFormatPr defaultRowHeight="15" x14ac:dyDescent="0.25"/>
  <sheetData>
    <row r="1" spans="1:24" ht="23.25" x14ac:dyDescent="0.35">
      <c r="A1" s="2" t="s">
        <v>206</v>
      </c>
    </row>
    <row r="4" spans="1:24" x14ac:dyDescent="0.25">
      <c r="A4" s="39" t="s">
        <v>139</v>
      </c>
      <c r="B4" s="43" t="s">
        <v>140</v>
      </c>
      <c r="C4" s="39" t="s">
        <v>141</v>
      </c>
      <c r="D4" s="39" t="s">
        <v>48</v>
      </c>
      <c r="E4" s="43" t="s">
        <v>142</v>
      </c>
      <c r="F4" s="39" t="s">
        <v>143</v>
      </c>
      <c r="G4" s="39" t="s">
        <v>144</v>
      </c>
      <c r="H4" s="39" t="s">
        <v>33</v>
      </c>
      <c r="I4" s="39" t="s">
        <v>36</v>
      </c>
      <c r="J4" s="39" t="s">
        <v>145</v>
      </c>
      <c r="K4" s="39" t="s">
        <v>32</v>
      </c>
      <c r="L4" s="39" t="s">
        <v>146</v>
      </c>
      <c r="M4" s="39" t="s">
        <v>147</v>
      </c>
      <c r="N4" s="39" t="s">
        <v>148</v>
      </c>
      <c r="O4" s="39" t="s">
        <v>149</v>
      </c>
      <c r="P4" s="40" t="s">
        <v>150</v>
      </c>
      <c r="Q4" s="39" t="s">
        <v>151</v>
      </c>
      <c r="R4" s="39" t="s">
        <v>34</v>
      </c>
      <c r="S4" s="41" t="s">
        <v>152</v>
      </c>
      <c r="T4" s="42" t="s">
        <v>153</v>
      </c>
      <c r="U4" s="42" t="s">
        <v>42</v>
      </c>
      <c r="V4" s="42" t="s">
        <v>154</v>
      </c>
      <c r="W4" s="42" t="s">
        <v>155</v>
      </c>
      <c r="X4" s="44" t="s">
        <v>84</v>
      </c>
    </row>
    <row r="5" spans="1:24" x14ac:dyDescent="0.25">
      <c r="A5" s="39" t="s">
        <v>156</v>
      </c>
      <c r="B5" s="43">
        <v>46120</v>
      </c>
      <c r="C5" s="39" t="s">
        <v>157</v>
      </c>
      <c r="D5" s="39" t="s">
        <v>158</v>
      </c>
      <c r="E5" s="43">
        <v>46083</v>
      </c>
      <c r="F5" s="39" t="s">
        <v>159</v>
      </c>
      <c r="G5" s="39" t="s">
        <v>160</v>
      </c>
      <c r="H5" s="39" t="s">
        <v>66</v>
      </c>
      <c r="I5" s="39" t="s">
        <v>161</v>
      </c>
      <c r="J5" s="39" t="s">
        <v>162</v>
      </c>
      <c r="K5" s="39" t="s">
        <v>163</v>
      </c>
      <c r="L5" s="39">
        <v>200</v>
      </c>
      <c r="M5" s="39">
        <v>1.22</v>
      </c>
      <c r="N5" s="39">
        <v>2</v>
      </c>
      <c r="O5" s="39">
        <v>9</v>
      </c>
      <c r="P5" s="40">
        <v>205.2</v>
      </c>
      <c r="Q5" s="39" t="s">
        <v>164</v>
      </c>
      <c r="R5" s="39" t="s">
        <v>60</v>
      </c>
      <c r="S5" s="41" t="s">
        <v>165</v>
      </c>
      <c r="T5" s="42" t="s">
        <v>60</v>
      </c>
      <c r="U5" s="42" t="s">
        <v>60</v>
      </c>
      <c r="V5" s="42" t="s">
        <v>166</v>
      </c>
      <c r="W5" s="42" t="s">
        <v>60</v>
      </c>
      <c r="X5" s="44" t="s">
        <v>167</v>
      </c>
    </row>
    <row r="6" spans="1:24" x14ac:dyDescent="0.25">
      <c r="A6" s="39" t="s">
        <v>168</v>
      </c>
      <c r="B6" s="43">
        <v>46120</v>
      </c>
      <c r="C6" s="39" t="s">
        <v>157</v>
      </c>
      <c r="D6" s="39" t="s">
        <v>169</v>
      </c>
      <c r="E6" s="43">
        <v>46083</v>
      </c>
      <c r="F6" s="39" t="s">
        <v>170</v>
      </c>
      <c r="G6" s="39" t="s">
        <v>171</v>
      </c>
      <c r="H6" s="39" t="s">
        <v>66</v>
      </c>
      <c r="I6" s="39" t="s">
        <v>172</v>
      </c>
      <c r="J6" s="39" t="s">
        <v>162</v>
      </c>
      <c r="K6" s="39" t="s">
        <v>163</v>
      </c>
      <c r="L6" s="39">
        <v>220</v>
      </c>
      <c r="M6" s="39">
        <v>1.22</v>
      </c>
      <c r="N6" s="39">
        <v>2</v>
      </c>
      <c r="O6" s="39">
        <v>12</v>
      </c>
      <c r="P6" s="40">
        <v>222.7</v>
      </c>
      <c r="Q6" s="39" t="s">
        <v>164</v>
      </c>
      <c r="R6" s="39" t="s">
        <v>60</v>
      </c>
      <c r="S6" s="41" t="s">
        <v>165</v>
      </c>
      <c r="T6" s="42" t="s">
        <v>60</v>
      </c>
      <c r="U6" s="42" t="s">
        <v>60</v>
      </c>
      <c r="V6" s="42" t="s">
        <v>173</v>
      </c>
      <c r="W6" s="42" t="s">
        <v>60</v>
      </c>
      <c r="X6" s="44" t="s">
        <v>60</v>
      </c>
    </row>
    <row r="7" spans="1:24" x14ac:dyDescent="0.25">
      <c r="A7" s="39" t="s">
        <v>174</v>
      </c>
      <c r="B7" s="43">
        <v>46120</v>
      </c>
      <c r="C7" s="39" t="s">
        <v>157</v>
      </c>
      <c r="D7" s="39" t="s">
        <v>175</v>
      </c>
      <c r="E7" s="43">
        <v>46083</v>
      </c>
      <c r="F7" s="39" t="s">
        <v>176</v>
      </c>
      <c r="G7" s="39" t="s">
        <v>177</v>
      </c>
      <c r="H7" s="39" t="s">
        <v>66</v>
      </c>
      <c r="I7" s="39" t="s">
        <v>161</v>
      </c>
      <c r="J7" s="39" t="s">
        <v>162</v>
      </c>
      <c r="K7" s="39" t="s">
        <v>163</v>
      </c>
      <c r="L7" s="39">
        <v>3435.5</v>
      </c>
      <c r="M7" s="39">
        <v>1.22</v>
      </c>
      <c r="N7" s="39">
        <v>23</v>
      </c>
      <c r="O7" s="39">
        <v>179</v>
      </c>
      <c r="P7" s="40">
        <v>3436.5</v>
      </c>
      <c r="Q7" s="39" t="s">
        <v>164</v>
      </c>
      <c r="R7" s="39" t="s">
        <v>60</v>
      </c>
      <c r="S7" s="41" t="s">
        <v>165</v>
      </c>
      <c r="T7" s="42" t="s">
        <v>60</v>
      </c>
      <c r="U7" s="42" t="s">
        <v>60</v>
      </c>
      <c r="V7" s="42" t="s">
        <v>178</v>
      </c>
      <c r="W7" s="42" t="s">
        <v>60</v>
      </c>
      <c r="X7" s="44" t="s">
        <v>60</v>
      </c>
    </row>
    <row r="8" spans="1:24" x14ac:dyDescent="0.25">
      <c r="A8" s="39" t="s">
        <v>179</v>
      </c>
      <c r="B8" s="43">
        <v>46120</v>
      </c>
      <c r="C8" s="39" t="s">
        <v>180</v>
      </c>
      <c r="D8" s="39" t="s">
        <v>181</v>
      </c>
      <c r="E8" s="43">
        <v>46076</v>
      </c>
      <c r="F8" s="39" t="s">
        <v>182</v>
      </c>
      <c r="G8" s="39" t="s">
        <v>183</v>
      </c>
      <c r="H8" s="39" t="s">
        <v>54</v>
      </c>
      <c r="I8" s="39" t="s">
        <v>184</v>
      </c>
      <c r="J8" s="39" t="s">
        <v>185</v>
      </c>
      <c r="K8" s="39" t="s">
        <v>186</v>
      </c>
      <c r="L8" s="39">
        <v>1910</v>
      </c>
      <c r="M8" s="39">
        <v>1.21</v>
      </c>
      <c r="N8" s="39">
        <v>11</v>
      </c>
      <c r="O8" s="39">
        <v>118</v>
      </c>
      <c r="P8" s="40">
        <v>1844.6</v>
      </c>
      <c r="Q8" s="39" t="s">
        <v>187</v>
      </c>
      <c r="R8" s="39" t="s">
        <v>188</v>
      </c>
      <c r="S8" s="41" t="s">
        <v>189</v>
      </c>
      <c r="T8" s="42" t="s">
        <v>190</v>
      </c>
      <c r="U8" s="42" t="s">
        <v>191</v>
      </c>
      <c r="V8" s="42" t="s">
        <v>192</v>
      </c>
      <c r="W8" s="42" t="s">
        <v>60</v>
      </c>
      <c r="X8" s="44" t="s">
        <v>60</v>
      </c>
    </row>
    <row r="9" spans="1:24" x14ac:dyDescent="0.25">
      <c r="A9" s="39" t="s">
        <v>179</v>
      </c>
      <c r="B9" s="43">
        <v>46120</v>
      </c>
      <c r="C9" s="39" t="s">
        <v>180</v>
      </c>
      <c r="D9" s="39" t="s">
        <v>193</v>
      </c>
      <c r="E9" s="43">
        <v>46086</v>
      </c>
      <c r="F9" s="39" t="s">
        <v>194</v>
      </c>
      <c r="G9" s="39" t="s">
        <v>195</v>
      </c>
      <c r="H9" s="39" t="s">
        <v>54</v>
      </c>
      <c r="I9" s="39" t="s">
        <v>184</v>
      </c>
      <c r="J9" s="39" t="s">
        <v>185</v>
      </c>
      <c r="K9" s="39" t="s">
        <v>186</v>
      </c>
      <c r="L9" s="39">
        <v>1025</v>
      </c>
      <c r="M9" s="39">
        <v>1.21</v>
      </c>
      <c r="N9" s="39">
        <v>6</v>
      </c>
      <c r="O9" s="39">
        <v>67</v>
      </c>
      <c r="P9" s="40">
        <v>1025.5</v>
      </c>
      <c r="Q9" s="39" t="s">
        <v>187</v>
      </c>
      <c r="R9" s="39" t="s">
        <v>188</v>
      </c>
      <c r="S9" s="41" t="s">
        <v>189</v>
      </c>
      <c r="T9" s="42" t="s">
        <v>190</v>
      </c>
      <c r="U9" s="42" t="s">
        <v>191</v>
      </c>
      <c r="V9" s="42" t="s">
        <v>192</v>
      </c>
      <c r="W9" s="42" t="s">
        <v>60</v>
      </c>
      <c r="X9" s="44" t="s">
        <v>60</v>
      </c>
    </row>
    <row r="10" spans="1:24" x14ac:dyDescent="0.25">
      <c r="A10" s="39" t="s">
        <v>179</v>
      </c>
      <c r="B10" s="43">
        <v>46120</v>
      </c>
      <c r="C10" s="39" t="s">
        <v>180</v>
      </c>
      <c r="D10" s="39" t="s">
        <v>193</v>
      </c>
      <c r="E10" s="43">
        <v>46086</v>
      </c>
      <c r="F10" s="39" t="s">
        <v>194</v>
      </c>
      <c r="G10" s="39" t="s">
        <v>196</v>
      </c>
      <c r="H10" s="39" t="s">
        <v>54</v>
      </c>
      <c r="I10" s="39" t="s">
        <v>184</v>
      </c>
      <c r="J10" s="39" t="s">
        <v>185</v>
      </c>
      <c r="K10" s="39" t="s">
        <v>186</v>
      </c>
      <c r="L10" s="39">
        <v>529</v>
      </c>
      <c r="M10" s="39">
        <v>1.21</v>
      </c>
      <c r="N10" s="39">
        <v>2</v>
      </c>
      <c r="O10" s="39">
        <v>14</v>
      </c>
      <c r="P10" s="40">
        <v>205.8</v>
      </c>
      <c r="Q10" s="39" t="s">
        <v>187</v>
      </c>
      <c r="R10" s="39" t="s">
        <v>188</v>
      </c>
      <c r="S10" s="41" t="s">
        <v>189</v>
      </c>
      <c r="T10" s="42" t="s">
        <v>190</v>
      </c>
      <c r="U10" s="42" t="s">
        <v>191</v>
      </c>
      <c r="V10" s="42" t="s">
        <v>192</v>
      </c>
      <c r="W10" s="42" t="s">
        <v>60</v>
      </c>
      <c r="X10" s="44" t="s">
        <v>60</v>
      </c>
    </row>
    <row r="11" spans="1:24" x14ac:dyDescent="0.25">
      <c r="A11" s="39" t="s">
        <v>197</v>
      </c>
      <c r="B11" s="43">
        <v>46120</v>
      </c>
      <c r="C11" s="39" t="s">
        <v>180</v>
      </c>
      <c r="D11" s="39" t="s">
        <v>198</v>
      </c>
      <c r="E11" s="43">
        <v>46093</v>
      </c>
      <c r="F11" s="39" t="s">
        <v>199</v>
      </c>
      <c r="G11" s="39" t="s">
        <v>200</v>
      </c>
      <c r="H11" s="39" t="s">
        <v>54</v>
      </c>
      <c r="I11" s="39" t="s">
        <v>201</v>
      </c>
      <c r="J11" s="39" t="s">
        <v>185</v>
      </c>
      <c r="K11" s="39" t="s">
        <v>186</v>
      </c>
      <c r="L11" s="39">
        <v>90</v>
      </c>
      <c r="M11" s="39">
        <v>1.21</v>
      </c>
      <c r="N11" s="39">
        <v>1</v>
      </c>
      <c r="O11" s="39">
        <v>4</v>
      </c>
      <c r="P11" s="40">
        <v>98.2</v>
      </c>
      <c r="Q11" s="39" t="s">
        <v>202</v>
      </c>
      <c r="R11" s="39" t="s">
        <v>188</v>
      </c>
      <c r="S11" s="41" t="s">
        <v>189</v>
      </c>
      <c r="T11" s="42" t="s">
        <v>203</v>
      </c>
      <c r="U11" s="42" t="s">
        <v>191</v>
      </c>
      <c r="V11" s="42" t="s">
        <v>204</v>
      </c>
      <c r="W11" s="42" t="s">
        <v>60</v>
      </c>
      <c r="X11" s="44" t="s">
        <v>205</v>
      </c>
    </row>
    <row r="15" spans="1:24" ht="21" x14ac:dyDescent="0.35">
      <c r="A15" s="1" t="s">
        <v>207</v>
      </c>
      <c r="B15" s="4"/>
    </row>
    <row r="16" spans="1:24" ht="21" x14ac:dyDescent="0.35">
      <c r="A16" s="4">
        <v>1</v>
      </c>
      <c r="B16" s="4" t="s">
        <v>208</v>
      </c>
    </row>
    <row r="17" spans="1:2" ht="21" x14ac:dyDescent="0.35">
      <c r="A17" s="4">
        <v>2</v>
      </c>
      <c r="B17" s="4" t="s">
        <v>209</v>
      </c>
    </row>
    <row r="18" spans="1:2" ht="21" x14ac:dyDescent="0.35">
      <c r="A18" s="4">
        <v>3</v>
      </c>
      <c r="B18" s="4" t="s">
        <v>210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BF84E-43BE-4CFE-A363-F06DBED6F813}">
  <dimension ref="A1"/>
  <sheetViews>
    <sheetView workbookViewId="0">
      <selection activeCell="L44" sqref="L44"/>
    </sheetView>
  </sheetViews>
  <sheetFormatPr defaultRowHeight="15"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25787-7FAA-4549-869C-661DF3B0B424}">
  <dimension ref="A2:C14"/>
  <sheetViews>
    <sheetView workbookViewId="0">
      <selection activeCell="C8" sqref="C8"/>
    </sheetView>
  </sheetViews>
  <sheetFormatPr defaultRowHeight="15" x14ac:dyDescent="0.25"/>
  <sheetData>
    <row r="2" spans="1:3" ht="21" x14ac:dyDescent="0.35">
      <c r="A2" s="1" t="s">
        <v>207</v>
      </c>
      <c r="B2" s="4"/>
      <c r="C2" s="4"/>
    </row>
    <row r="3" spans="1:3" ht="21" x14ac:dyDescent="0.35">
      <c r="A3" s="4">
        <v>1</v>
      </c>
      <c r="B3" s="4" t="s">
        <v>212</v>
      </c>
      <c r="C3" s="4"/>
    </row>
    <row r="4" spans="1:3" ht="21" x14ac:dyDescent="0.35">
      <c r="A4" s="4"/>
      <c r="B4" s="46" t="s">
        <v>13</v>
      </c>
      <c r="C4" s="4" t="s">
        <v>213</v>
      </c>
    </row>
    <row r="5" spans="1:3" ht="21" x14ac:dyDescent="0.35">
      <c r="A5" s="4"/>
      <c r="B5" s="46" t="s">
        <v>14</v>
      </c>
      <c r="C5" s="4" t="s">
        <v>214</v>
      </c>
    </row>
    <row r="6" spans="1:3" ht="21" x14ac:dyDescent="0.35">
      <c r="A6" s="4"/>
      <c r="B6" s="46" t="s">
        <v>16</v>
      </c>
      <c r="C6" s="4" t="s">
        <v>215</v>
      </c>
    </row>
    <row r="7" spans="1:3" ht="21" x14ac:dyDescent="0.35">
      <c r="A7" s="4"/>
      <c r="B7" s="46" t="s">
        <v>18</v>
      </c>
      <c r="C7" s="4" t="s">
        <v>216</v>
      </c>
    </row>
    <row r="8" spans="1:3" ht="21" x14ac:dyDescent="0.35">
      <c r="A8" s="4"/>
      <c r="B8" s="46" t="s">
        <v>20</v>
      </c>
      <c r="C8" s="4" t="s">
        <v>232</v>
      </c>
    </row>
    <row r="9" spans="1:3" ht="21" x14ac:dyDescent="0.35">
      <c r="A9" s="4"/>
      <c r="B9" s="46" t="s">
        <v>22</v>
      </c>
      <c r="C9" s="4" t="s">
        <v>217</v>
      </c>
    </row>
    <row r="10" spans="1:3" ht="21" x14ac:dyDescent="0.35">
      <c r="A10" s="4"/>
      <c r="B10" s="46" t="s">
        <v>99</v>
      </c>
      <c r="C10" s="4" t="s">
        <v>219</v>
      </c>
    </row>
    <row r="11" spans="1:3" ht="21" x14ac:dyDescent="0.35">
      <c r="A11" s="4"/>
      <c r="B11" s="46" t="s">
        <v>224</v>
      </c>
      <c r="C11" s="4" t="s">
        <v>218</v>
      </c>
    </row>
    <row r="12" spans="1:3" ht="21" x14ac:dyDescent="0.35">
      <c r="A12" s="4"/>
      <c r="B12" s="46" t="s">
        <v>231</v>
      </c>
      <c r="C12" s="4" t="s">
        <v>225</v>
      </c>
    </row>
    <row r="13" spans="1:3" ht="21" x14ac:dyDescent="0.35">
      <c r="A13" s="4">
        <v>2</v>
      </c>
      <c r="B13" s="47" t="s">
        <v>220</v>
      </c>
      <c r="C13" s="4"/>
    </row>
    <row r="14" spans="1:3" ht="21" x14ac:dyDescent="0.35">
      <c r="A14" s="4">
        <v>3</v>
      </c>
      <c r="B14" s="47" t="s">
        <v>221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6A308-6098-41CE-8AA0-26EE4771E303}">
  <dimension ref="A1:C40"/>
  <sheetViews>
    <sheetView tabSelected="1" topLeftCell="A34" workbookViewId="0">
      <selection activeCell="S73" sqref="S73"/>
    </sheetView>
  </sheetViews>
  <sheetFormatPr defaultRowHeight="15" x14ac:dyDescent="0.25"/>
  <sheetData>
    <row r="1" spans="1:1" ht="26.25" x14ac:dyDescent="0.4">
      <c r="A1" s="22" t="s">
        <v>222</v>
      </c>
    </row>
    <row r="34" spans="1:3" ht="18.75" x14ac:dyDescent="0.3">
      <c r="A34" s="48" t="s">
        <v>207</v>
      </c>
      <c r="B34" s="49"/>
      <c r="C34" s="50"/>
    </row>
    <row r="35" spans="1:3" ht="18.75" x14ac:dyDescent="0.3">
      <c r="A35" s="3">
        <v>1</v>
      </c>
      <c r="B35" s="3" t="s">
        <v>223</v>
      </c>
    </row>
    <row r="36" spans="1:3" ht="18.75" x14ac:dyDescent="0.3">
      <c r="A36" s="3">
        <v>2</v>
      </c>
      <c r="B36" s="3" t="s">
        <v>226</v>
      </c>
    </row>
    <row r="37" spans="1:3" ht="18.75" x14ac:dyDescent="0.3">
      <c r="A37" s="3">
        <v>3</v>
      </c>
      <c r="B37" s="3" t="s">
        <v>227</v>
      </c>
    </row>
    <row r="38" spans="1:3" ht="18.75" x14ac:dyDescent="0.3">
      <c r="A38" s="3">
        <v>4</v>
      </c>
      <c r="B38" s="3" t="s">
        <v>228</v>
      </c>
    </row>
    <row r="39" spans="1:3" ht="18.75" x14ac:dyDescent="0.3">
      <c r="A39" s="3">
        <v>5</v>
      </c>
      <c r="B39" s="3" t="s">
        <v>229</v>
      </c>
    </row>
    <row r="40" spans="1:3" ht="18.75" x14ac:dyDescent="0.3">
      <c r="A40" s="3"/>
      <c r="B40" s="3" t="s">
        <v>230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SOP</vt:lpstr>
      <vt:lpstr>INPUT PO KE SYSTEM</vt:lpstr>
      <vt:lpstr>LAPORAN PO HARIAN</vt:lpstr>
      <vt:lpstr>DATA OUTSTANDING</vt:lpstr>
      <vt:lpstr>INVPL DAN SURAT JALAN</vt:lpstr>
      <vt:lpstr>DELIVERY LIST</vt:lpstr>
      <vt:lpstr>PI</vt:lpstr>
      <vt:lpstr>CUSTOMER INFO</vt:lpstr>
      <vt:lpstr>OUTSTANDING INVOICE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BO04</dc:creator>
  <cp:lastModifiedBy>CO02</cp:lastModifiedBy>
  <dcterms:created xsi:type="dcterms:W3CDTF">2026-04-08T00:33:36Z</dcterms:created>
  <dcterms:modified xsi:type="dcterms:W3CDTF">2026-04-08T03:01:11Z</dcterms:modified>
</cp:coreProperties>
</file>