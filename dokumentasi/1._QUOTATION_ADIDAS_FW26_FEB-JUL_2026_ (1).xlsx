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idfs\業務室\ALL DATA MARKETING\2026\PRICE\ADIDAS\QUOTATION FW26 ADIDAS\"/>
    </mc:Choice>
  </mc:AlternateContent>
  <xr:revisionPtr revIDLastSave="0" documentId="13_ncr:1_{75B5082E-C522-440D-A1FF-71122A11FF44}" xr6:coauthVersionLast="47" xr6:coauthVersionMax="47" xr10:uidLastSave="{00000000-0000-0000-0000-000000000000}"/>
  <bookViews>
    <workbookView xWindow="-120" yWindow="-120" windowWidth="24240" windowHeight="13020" tabRatio="778" firstSheet="4" activeTab="15" xr2:uid="{00000000-000D-0000-FFFF-FFFF00000000}"/>
  </bookViews>
  <sheets>
    <sheet name="ADCI" sheetId="5" r:id="rId1"/>
    <sheet name="PCI" sheetId="12" r:id="rId2"/>
    <sheet name="PGD-I" sheetId="1" r:id="rId3"/>
    <sheet name="BIG" sheetId="13" r:id="rId4"/>
    <sheet name="PRB" sheetId="15" r:id="rId5"/>
    <sheet name="TSH" sheetId="29" r:id="rId6"/>
    <sheet name="PGS" sheetId="30" r:id="rId7"/>
    <sheet name="HWI" sheetId="31" r:id="rId8"/>
    <sheet name="HWP" sheetId="44" r:id="rId9"/>
    <sheet name="PWJ" sheetId="33" r:id="rId10"/>
    <sheet name="HARDASES" sheetId="34" r:id="rId11"/>
    <sheet name="PWI1" sheetId="37" r:id="rId12"/>
    <sheet name="PWI3" sheetId="45" r:id="rId13"/>
    <sheet name="ADONIA" sheetId="39" r:id="rId14"/>
    <sheet name="LONGRICH ADIDAS" sheetId="43" r:id="rId15"/>
    <sheet name="PEIHAI" sheetId="46" r:id="rId16"/>
    <sheet name="AROMA" sheetId="47" r:id="rId17"/>
  </sheets>
  <definedNames>
    <definedName name="_xlnm.Print_Area" localSheetId="0">ADCI!$A$1:$R$47</definedName>
    <definedName name="_xlnm.Print_Area" localSheetId="13">ADONIA!$A$1:$R$49</definedName>
    <definedName name="_xlnm.Print_Area" localSheetId="16">AROMA!$A$1:$R$49</definedName>
    <definedName name="_xlnm.Print_Area" localSheetId="3">BIG!$A$1:$R$48</definedName>
    <definedName name="_xlnm.Print_Area" localSheetId="10">HARDASES!$A$1:$R$48</definedName>
    <definedName name="_xlnm.Print_Area" localSheetId="7">HWI!$A$1:$R$49</definedName>
    <definedName name="_xlnm.Print_Area" localSheetId="8">HWP!$A$1:$R$49</definedName>
    <definedName name="_xlnm.Print_Area" localSheetId="14">'LONGRICH ADIDAS'!$A$1:$R$51</definedName>
    <definedName name="_xlnm.Print_Area" localSheetId="1">PCI!$A$1:$R$47</definedName>
    <definedName name="_xlnm.Print_Area" localSheetId="15">PEIHAI!$A$1:$R$51</definedName>
    <definedName name="_xlnm.Print_Area" localSheetId="2">'PGD-I'!$A$1:$R$48</definedName>
    <definedName name="_xlnm.Print_Area" localSheetId="6">PGS!$A$1:$R$49</definedName>
    <definedName name="_xlnm.Print_Area" localSheetId="4">PRB!$A$1:$R$48</definedName>
    <definedName name="_xlnm.Print_Area" localSheetId="11">'PWI1'!$A$1:$R$47</definedName>
    <definedName name="_xlnm.Print_Area" localSheetId="12">'PWI3'!$A$1:$R$48</definedName>
    <definedName name="_xlnm.Print_Area" localSheetId="9">PWJ!$A$1:$R$48</definedName>
    <definedName name="_xlnm.Print_Area" localSheetId="5">TSH!$A$1:$R$48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47" l="1"/>
  <c r="L27" i="47"/>
  <c r="L26" i="47"/>
  <c r="L25" i="47"/>
  <c r="L24" i="47"/>
  <c r="L23" i="47"/>
  <c r="L22" i="47"/>
  <c r="J21" i="47"/>
  <c r="K21" i="47" s="1"/>
  <c r="L21" i="47" s="1"/>
  <c r="J20" i="47"/>
  <c r="K20" i="47" s="1"/>
  <c r="L20" i="47" s="1"/>
  <c r="J19" i="47"/>
  <c r="K19" i="47" s="1"/>
  <c r="L19" i="47" s="1"/>
  <c r="J18" i="47"/>
  <c r="K18" i="47" s="1"/>
  <c r="L18" i="47" s="1"/>
  <c r="J17" i="47"/>
  <c r="K17" i="47" s="1"/>
  <c r="L17" i="47" s="1"/>
  <c r="J16" i="47"/>
  <c r="K16" i="47" s="1"/>
  <c r="L16" i="47" s="1"/>
  <c r="J15" i="47"/>
  <c r="K15" i="47" s="1"/>
  <c r="L15" i="47" s="1"/>
  <c r="L31" i="46"/>
  <c r="L30" i="46"/>
  <c r="L29" i="46"/>
  <c r="L27" i="46"/>
  <c r="L26" i="46"/>
  <c r="L25" i="46"/>
  <c r="L24" i="46"/>
  <c r="L23" i="46"/>
  <c r="L22" i="46"/>
  <c r="J21" i="46"/>
  <c r="K21" i="46" s="1"/>
  <c r="L21" i="46" s="1"/>
  <c r="J20" i="46"/>
  <c r="K20" i="46" s="1"/>
  <c r="L20" i="46" s="1"/>
  <c r="J19" i="46"/>
  <c r="K19" i="46" s="1"/>
  <c r="L19" i="46" s="1"/>
  <c r="J18" i="46"/>
  <c r="K18" i="46" s="1"/>
  <c r="L18" i="46" s="1"/>
  <c r="J17" i="46"/>
  <c r="K17" i="46" s="1"/>
  <c r="L17" i="46" s="1"/>
  <c r="J16" i="46"/>
  <c r="K16" i="46" s="1"/>
  <c r="L16" i="46" s="1"/>
  <c r="J15" i="46"/>
  <c r="K15" i="46" s="1"/>
  <c r="L15" i="46" s="1"/>
  <c r="L29" i="45" l="1"/>
  <c r="L28" i="45"/>
  <c r="L27" i="45"/>
  <c r="L25" i="45"/>
  <c r="L24" i="45"/>
  <c r="L23" i="45"/>
  <c r="L22" i="45"/>
  <c r="L21" i="45"/>
  <c r="L20" i="45"/>
  <c r="J19" i="45"/>
  <c r="K19" i="45" s="1"/>
  <c r="L19" i="45" s="1"/>
  <c r="J18" i="45"/>
  <c r="K18" i="45" s="1"/>
  <c r="L18" i="45" s="1"/>
  <c r="J17" i="45"/>
  <c r="K17" i="45" s="1"/>
  <c r="L17" i="45" s="1"/>
  <c r="J16" i="45"/>
  <c r="K16" i="45" s="1"/>
  <c r="L16" i="45" s="1"/>
  <c r="J15" i="45"/>
  <c r="K15" i="45" s="1"/>
  <c r="L15" i="45" s="1"/>
  <c r="J14" i="45"/>
  <c r="K14" i="45" s="1"/>
  <c r="L14" i="45" s="1"/>
  <c r="J13" i="45"/>
  <c r="K13" i="45" s="1"/>
  <c r="L13" i="45" s="1"/>
  <c r="L29" i="44"/>
  <c r="L28" i="44"/>
  <c r="L27" i="44"/>
  <c r="L25" i="44"/>
  <c r="L24" i="44"/>
  <c r="L23" i="44"/>
  <c r="L22" i="44"/>
  <c r="L21" i="44"/>
  <c r="L20" i="44"/>
  <c r="J19" i="44"/>
  <c r="K19" i="44" s="1"/>
  <c r="L19" i="44" s="1"/>
  <c r="J18" i="44"/>
  <c r="K18" i="44" s="1"/>
  <c r="L18" i="44" s="1"/>
  <c r="J17" i="44"/>
  <c r="K17" i="44" s="1"/>
  <c r="L17" i="44" s="1"/>
  <c r="J16" i="44"/>
  <c r="K16" i="44" s="1"/>
  <c r="L16" i="44" s="1"/>
  <c r="J15" i="44"/>
  <c r="K15" i="44" s="1"/>
  <c r="L15" i="44" s="1"/>
  <c r="J14" i="44"/>
  <c r="K14" i="44" s="1"/>
  <c r="L14" i="44" s="1"/>
  <c r="J13" i="44"/>
  <c r="K13" i="44" s="1"/>
  <c r="L13" i="44" s="1"/>
  <c r="L31" i="43"/>
  <c r="L30" i="43"/>
  <c r="L29" i="43"/>
  <c r="L27" i="43"/>
  <c r="L26" i="43"/>
  <c r="L25" i="43"/>
  <c r="L24" i="43"/>
  <c r="L23" i="43"/>
  <c r="L22" i="43"/>
  <c r="J21" i="43"/>
  <c r="K21" i="43" s="1"/>
  <c r="L21" i="43" s="1"/>
  <c r="J20" i="43"/>
  <c r="K20" i="43" s="1"/>
  <c r="L20" i="43" s="1"/>
  <c r="J19" i="43"/>
  <c r="K19" i="43" s="1"/>
  <c r="L19" i="43" s="1"/>
  <c r="J18" i="43"/>
  <c r="K18" i="43" s="1"/>
  <c r="L18" i="43" s="1"/>
  <c r="J17" i="43"/>
  <c r="K17" i="43" s="1"/>
  <c r="L17" i="43" s="1"/>
  <c r="J16" i="43"/>
  <c r="K16" i="43" s="1"/>
  <c r="L16" i="43" s="1"/>
  <c r="J15" i="43"/>
  <c r="K15" i="43" s="1"/>
  <c r="L15" i="43" s="1"/>
  <c r="L31" i="39"/>
  <c r="L30" i="39"/>
  <c r="L29" i="39"/>
  <c r="L27" i="39"/>
  <c r="L26" i="39"/>
  <c r="L25" i="39"/>
  <c r="L24" i="39"/>
  <c r="L23" i="39"/>
  <c r="L22" i="39"/>
  <c r="J21" i="39"/>
  <c r="K21" i="39" s="1"/>
  <c r="L21" i="39" s="1"/>
  <c r="J20" i="39"/>
  <c r="K20" i="39" s="1"/>
  <c r="L20" i="39" s="1"/>
  <c r="J19" i="39"/>
  <c r="K19" i="39" s="1"/>
  <c r="L19" i="39" s="1"/>
  <c r="J18" i="39"/>
  <c r="K18" i="39" s="1"/>
  <c r="L18" i="39" s="1"/>
  <c r="J17" i="39"/>
  <c r="K17" i="39" s="1"/>
  <c r="L17" i="39" s="1"/>
  <c r="J16" i="39"/>
  <c r="K16" i="39" s="1"/>
  <c r="L16" i="39" s="1"/>
  <c r="J15" i="39"/>
  <c r="K15" i="39" s="1"/>
  <c r="L15" i="39" s="1"/>
  <c r="L29" i="37"/>
  <c r="L28" i="37"/>
  <c r="L27" i="37"/>
  <c r="L25" i="37"/>
  <c r="L24" i="37"/>
  <c r="L23" i="37"/>
  <c r="L22" i="37"/>
  <c r="L21" i="37"/>
  <c r="L20" i="37"/>
  <c r="J19" i="37"/>
  <c r="K19" i="37" s="1"/>
  <c r="L19" i="37" s="1"/>
  <c r="J18" i="37"/>
  <c r="K18" i="37" s="1"/>
  <c r="L18" i="37" s="1"/>
  <c r="J17" i="37"/>
  <c r="K17" i="37" s="1"/>
  <c r="L17" i="37" s="1"/>
  <c r="J16" i="37"/>
  <c r="K16" i="37" s="1"/>
  <c r="L16" i="37" s="1"/>
  <c r="J15" i="37"/>
  <c r="K15" i="37" s="1"/>
  <c r="L15" i="37" s="1"/>
  <c r="J14" i="37"/>
  <c r="K14" i="37" s="1"/>
  <c r="L14" i="37" s="1"/>
  <c r="J13" i="37"/>
  <c r="K13" i="37" s="1"/>
  <c r="L13" i="37" s="1"/>
  <c r="L29" i="34"/>
  <c r="L28" i="34"/>
  <c r="L27" i="34"/>
  <c r="L25" i="34"/>
  <c r="L24" i="34"/>
  <c r="L23" i="34"/>
  <c r="L22" i="34"/>
  <c r="L21" i="34"/>
  <c r="L20" i="34"/>
  <c r="J19" i="34"/>
  <c r="K19" i="34" s="1"/>
  <c r="L19" i="34" s="1"/>
  <c r="J18" i="34"/>
  <c r="K18" i="34" s="1"/>
  <c r="L18" i="34" s="1"/>
  <c r="J17" i="34"/>
  <c r="K17" i="34" s="1"/>
  <c r="L17" i="34" s="1"/>
  <c r="J16" i="34"/>
  <c r="K16" i="34" s="1"/>
  <c r="L16" i="34" s="1"/>
  <c r="J15" i="34"/>
  <c r="K15" i="34" s="1"/>
  <c r="L15" i="34" s="1"/>
  <c r="J14" i="34"/>
  <c r="K14" i="34" s="1"/>
  <c r="L14" i="34" s="1"/>
  <c r="J13" i="34"/>
  <c r="K13" i="34" s="1"/>
  <c r="L13" i="34" s="1"/>
  <c r="L29" i="33"/>
  <c r="L28" i="33"/>
  <c r="L27" i="33"/>
  <c r="L25" i="33"/>
  <c r="L24" i="33"/>
  <c r="L23" i="33"/>
  <c r="L22" i="33"/>
  <c r="L21" i="33"/>
  <c r="L20" i="33"/>
  <c r="J19" i="33"/>
  <c r="K19" i="33" s="1"/>
  <c r="L19" i="33" s="1"/>
  <c r="J18" i="33"/>
  <c r="K18" i="33" s="1"/>
  <c r="L18" i="33" s="1"/>
  <c r="J17" i="33"/>
  <c r="K17" i="33" s="1"/>
  <c r="L17" i="33" s="1"/>
  <c r="J16" i="33"/>
  <c r="K16" i="33" s="1"/>
  <c r="L16" i="33" s="1"/>
  <c r="J15" i="33"/>
  <c r="K15" i="33" s="1"/>
  <c r="L15" i="33" s="1"/>
  <c r="J14" i="33"/>
  <c r="K14" i="33" s="1"/>
  <c r="L14" i="33" s="1"/>
  <c r="J13" i="33"/>
  <c r="K13" i="33" s="1"/>
  <c r="L13" i="33" s="1"/>
  <c r="L29" i="31"/>
  <c r="L28" i="31"/>
  <c r="L27" i="31"/>
  <c r="L25" i="31"/>
  <c r="L24" i="31"/>
  <c r="L23" i="31"/>
  <c r="L22" i="31"/>
  <c r="L21" i="31"/>
  <c r="L20" i="31"/>
  <c r="J19" i="31"/>
  <c r="K19" i="31" s="1"/>
  <c r="L19" i="31" s="1"/>
  <c r="J18" i="31"/>
  <c r="K18" i="31" s="1"/>
  <c r="L18" i="31" s="1"/>
  <c r="J17" i="31"/>
  <c r="K17" i="31" s="1"/>
  <c r="L17" i="31" s="1"/>
  <c r="J16" i="31"/>
  <c r="K16" i="31" s="1"/>
  <c r="L16" i="31" s="1"/>
  <c r="J15" i="31"/>
  <c r="K15" i="31" s="1"/>
  <c r="L15" i="31" s="1"/>
  <c r="J14" i="31"/>
  <c r="K14" i="31" s="1"/>
  <c r="L14" i="31" s="1"/>
  <c r="J13" i="31"/>
  <c r="K13" i="31" s="1"/>
  <c r="L13" i="31" s="1"/>
  <c r="L29" i="30"/>
  <c r="L28" i="30"/>
  <c r="L27" i="30"/>
  <c r="L25" i="30"/>
  <c r="L24" i="30"/>
  <c r="L23" i="30"/>
  <c r="L22" i="30"/>
  <c r="L21" i="30"/>
  <c r="L20" i="30"/>
  <c r="J19" i="30"/>
  <c r="K19" i="30" s="1"/>
  <c r="L19" i="30" s="1"/>
  <c r="J18" i="30"/>
  <c r="K18" i="30" s="1"/>
  <c r="L18" i="30" s="1"/>
  <c r="J17" i="30"/>
  <c r="K17" i="30" s="1"/>
  <c r="L17" i="30" s="1"/>
  <c r="J16" i="30"/>
  <c r="K16" i="30" s="1"/>
  <c r="L16" i="30" s="1"/>
  <c r="J15" i="30"/>
  <c r="K15" i="30" s="1"/>
  <c r="L15" i="30" s="1"/>
  <c r="J14" i="30"/>
  <c r="K14" i="30" s="1"/>
  <c r="L14" i="30" s="1"/>
  <c r="J13" i="30"/>
  <c r="K13" i="30" s="1"/>
  <c r="L13" i="30" s="1"/>
  <c r="L29" i="29"/>
  <c r="L28" i="29"/>
  <c r="L27" i="29"/>
  <c r="L25" i="29"/>
  <c r="L24" i="29"/>
  <c r="L23" i="29"/>
  <c r="L22" i="29"/>
  <c r="L21" i="29"/>
  <c r="L20" i="29"/>
  <c r="J19" i="29"/>
  <c r="K19" i="29" s="1"/>
  <c r="L19" i="29" s="1"/>
  <c r="J18" i="29"/>
  <c r="K18" i="29" s="1"/>
  <c r="L18" i="29" s="1"/>
  <c r="J17" i="29"/>
  <c r="K17" i="29" s="1"/>
  <c r="L17" i="29" s="1"/>
  <c r="J16" i="29"/>
  <c r="K16" i="29" s="1"/>
  <c r="L16" i="29" s="1"/>
  <c r="J15" i="29"/>
  <c r="K15" i="29" s="1"/>
  <c r="L15" i="29" s="1"/>
  <c r="J14" i="29"/>
  <c r="K14" i="29" s="1"/>
  <c r="L14" i="29" s="1"/>
  <c r="J13" i="29"/>
  <c r="K13" i="29" s="1"/>
  <c r="L13" i="29" s="1"/>
  <c r="L30" i="15"/>
  <c r="L29" i="15"/>
  <c r="L28" i="15"/>
  <c r="L26" i="15"/>
  <c r="L25" i="15"/>
  <c r="L24" i="15"/>
  <c r="L23" i="15"/>
  <c r="L22" i="15"/>
  <c r="L21" i="15"/>
  <c r="J20" i="15"/>
  <c r="K20" i="15" s="1"/>
  <c r="L20" i="15" s="1"/>
  <c r="J19" i="15"/>
  <c r="K19" i="15" s="1"/>
  <c r="L19" i="15" s="1"/>
  <c r="J18" i="15"/>
  <c r="K18" i="15" s="1"/>
  <c r="L18" i="15" s="1"/>
  <c r="J17" i="15"/>
  <c r="K17" i="15" s="1"/>
  <c r="L17" i="15" s="1"/>
  <c r="J16" i="15"/>
  <c r="K16" i="15" s="1"/>
  <c r="L16" i="15" s="1"/>
  <c r="J15" i="15"/>
  <c r="K15" i="15" s="1"/>
  <c r="L15" i="15" s="1"/>
  <c r="J14" i="15"/>
  <c r="K14" i="15" s="1"/>
  <c r="L14" i="15" s="1"/>
  <c r="L29" i="13"/>
  <c r="L28" i="13"/>
  <c r="L27" i="13"/>
  <c r="L25" i="13"/>
  <c r="L24" i="13"/>
  <c r="L23" i="13"/>
  <c r="L22" i="13"/>
  <c r="L21" i="13"/>
  <c r="L20" i="13"/>
  <c r="J19" i="13"/>
  <c r="K19" i="13" s="1"/>
  <c r="L19" i="13" s="1"/>
  <c r="J18" i="13"/>
  <c r="K18" i="13" s="1"/>
  <c r="L18" i="13" s="1"/>
  <c r="J17" i="13"/>
  <c r="K17" i="13" s="1"/>
  <c r="L17" i="13" s="1"/>
  <c r="J16" i="13"/>
  <c r="K16" i="13" s="1"/>
  <c r="L16" i="13" s="1"/>
  <c r="J15" i="13"/>
  <c r="K15" i="13" s="1"/>
  <c r="L15" i="13" s="1"/>
  <c r="J14" i="13"/>
  <c r="K14" i="13" s="1"/>
  <c r="L14" i="13" s="1"/>
  <c r="J13" i="13"/>
  <c r="K13" i="13" s="1"/>
  <c r="L13" i="13" s="1"/>
  <c r="L29" i="1"/>
  <c r="L28" i="1"/>
  <c r="L27" i="1"/>
  <c r="L25" i="1"/>
  <c r="L24" i="1"/>
  <c r="L23" i="1"/>
  <c r="L22" i="1"/>
  <c r="L21" i="1"/>
  <c r="L20" i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L29" i="12"/>
  <c r="L28" i="12"/>
  <c r="L27" i="12"/>
  <c r="L25" i="12"/>
  <c r="L24" i="12"/>
  <c r="L23" i="12"/>
  <c r="L22" i="12"/>
  <c r="L21" i="12"/>
  <c r="L20" i="12"/>
  <c r="J19" i="12"/>
  <c r="K19" i="12" s="1"/>
  <c r="L19" i="12" s="1"/>
  <c r="J18" i="12"/>
  <c r="K18" i="12" s="1"/>
  <c r="L18" i="12" s="1"/>
  <c r="J17" i="12"/>
  <c r="K17" i="12" s="1"/>
  <c r="L17" i="12" s="1"/>
  <c r="J16" i="12"/>
  <c r="K16" i="12" s="1"/>
  <c r="L16" i="12" s="1"/>
  <c r="J15" i="12"/>
  <c r="K15" i="12" s="1"/>
  <c r="L15" i="12" s="1"/>
  <c r="J14" i="12"/>
  <c r="K14" i="12" s="1"/>
  <c r="L14" i="12" s="1"/>
  <c r="J13" i="12"/>
  <c r="K13" i="12" s="1"/>
  <c r="L13" i="12" s="1"/>
  <c r="L29" i="5"/>
  <c r="L28" i="5"/>
  <c r="L27" i="5"/>
  <c r="J16" i="5"/>
  <c r="K16" i="5" s="1"/>
  <c r="L16" i="5" s="1"/>
  <c r="J14" i="5"/>
  <c r="K14" i="5" s="1"/>
  <c r="L14" i="5" s="1"/>
  <c r="J13" i="5"/>
  <c r="K13" i="5" s="1"/>
  <c r="L13" i="5" s="1"/>
  <c r="L25" i="5"/>
  <c r="L24" i="5"/>
  <c r="L23" i="5"/>
  <c r="J19" i="5"/>
  <c r="K19" i="5" s="1"/>
  <c r="L19" i="5" s="1"/>
  <c r="J18" i="5"/>
  <c r="K18" i="5" s="1"/>
  <c r="L18" i="5" s="1"/>
  <c r="J17" i="5"/>
  <c r="K17" i="5" s="1"/>
  <c r="L17" i="5" s="1"/>
  <c r="J15" i="5"/>
  <c r="K15" i="5" s="1"/>
  <c r="L15" i="5" s="1"/>
  <c r="L22" i="5"/>
  <c r="L20" i="5"/>
  <c r="L21" i="5"/>
</calcChain>
</file>

<file path=xl/sharedStrings.xml><?xml version="1.0" encoding="utf-8"?>
<sst xmlns="http://schemas.openxmlformats.org/spreadsheetml/2006/main" count="3236" uniqueCount="167">
  <si>
    <t>PT. TONG HONG TANNERY INDONESIA - QUOTATION SHEET</t>
  </si>
  <si>
    <t>Address :Kawasan Industri Modern Cikande, Jl. Modern Industri XIV/W-1</t>
  </si>
  <si>
    <t xml:space="preserve">Ds. Barengkok, Kec. Kibin Serang - Banten </t>
  </si>
  <si>
    <t>Telp. : 0254-8480870/864/865                                          Fax : 0254-8480743</t>
  </si>
  <si>
    <t>QUOTATION NO.</t>
  </si>
  <si>
    <t>:</t>
  </si>
  <si>
    <t>CUSTOMER NAME</t>
  </si>
  <si>
    <t>: PT GLOSTAR INDONESIA</t>
  </si>
  <si>
    <t>CUSTOMER CODE</t>
  </si>
  <si>
    <t>QUOTATION CONTACT</t>
  </si>
  <si>
    <t>: Mr. Bob Chiu</t>
  </si>
  <si>
    <t>ADDRESS</t>
  </si>
  <si>
    <t>INDONESIA</t>
  </si>
  <si>
    <t>CUSTOMER TEL</t>
  </si>
  <si>
    <t>: +62-266-6323846</t>
  </si>
  <si>
    <t>QUOTATION DATE</t>
  </si>
  <si>
    <t>CONTACT PERSON</t>
  </si>
  <si>
    <t>CUSTOMER FAX</t>
  </si>
  <si>
    <t xml:space="preserve">: </t>
  </si>
  <si>
    <t>TERM OF TRANSACTION</t>
  </si>
  <si>
    <t>: Door To Door</t>
  </si>
  <si>
    <t>NO.</t>
  </si>
  <si>
    <t>Material Category</t>
  </si>
  <si>
    <t>Material type</t>
  </si>
  <si>
    <t>Material Name</t>
  </si>
  <si>
    <t>THICKNESS</t>
  </si>
  <si>
    <t>Lead Time</t>
  </si>
  <si>
    <t>REMARK</t>
  </si>
  <si>
    <t>WHITE</t>
  </si>
  <si>
    <t>BLACK</t>
  </si>
  <si>
    <t>COLOR</t>
  </si>
  <si>
    <t>FLUORESCENT</t>
  </si>
  <si>
    <t>METALLIC/PEARLIZED/ANODIZED</t>
  </si>
  <si>
    <t>Sample</t>
  </si>
  <si>
    <t>Production</t>
  </si>
  <si>
    <t>COW SPLIT LEATHER (PU)</t>
  </si>
  <si>
    <t>NORMAL PU COATED</t>
  </si>
  <si>
    <t>+ 0.10</t>
  </si>
  <si>
    <t>1.2-1.6MM</t>
  </si>
  <si>
    <t>REMARK :</t>
  </si>
  <si>
    <t>Approved by customer :</t>
  </si>
  <si>
    <t>GM :</t>
  </si>
  <si>
    <t>Marketing Supervisor :</t>
  </si>
  <si>
    <t>Prepared by  :</t>
  </si>
  <si>
    <t>13</t>
  </si>
  <si>
    <t>Address : Kawasan Industri Modern Cikande, Jl. Modern Industri XIV/W-1</t>
  </si>
  <si>
    <t>Cikande, Serang - Banten - Indonesia</t>
  </si>
  <si>
    <t>Kel/Kec.Cikande Serang-BANTEN</t>
  </si>
  <si>
    <t>: PT NIKOMAS GEMILANG (ADIDAS)</t>
  </si>
  <si>
    <t>: 62-254-401586</t>
  </si>
  <si>
    <t>: 62-254-401573</t>
  </si>
  <si>
    <t>PU COATED LEATHER (MAP-ACTION LEATHER)</t>
  </si>
  <si>
    <t>Thomas Hung</t>
  </si>
  <si>
    <t>: PT PANARUB INDUSTRY</t>
  </si>
  <si>
    <t>: PT TAH SUNG HUNG</t>
  </si>
  <si>
    <t>14 days</t>
  </si>
  <si>
    <t>NS016</t>
  </si>
  <si>
    <t>Ms. Lynn Lin</t>
  </si>
  <si>
    <t>GS007</t>
  </si>
  <si>
    <t>TS001</t>
  </si>
  <si>
    <t>PA020</t>
  </si>
  <si>
    <t>: PT. BINTANG INDOKARYA GEMILANG (PBB)</t>
  </si>
  <si>
    <t>: (0283) 8746913</t>
  </si>
  <si>
    <t>HYDRO ECO TECH COMFORT</t>
  </si>
  <si>
    <t>21 days</t>
  </si>
  <si>
    <t>SOHO NUBUCK - EPM 3</t>
  </si>
  <si>
    <t>SOHO NUBUCK</t>
  </si>
  <si>
    <t>PGS30</t>
  </si>
  <si>
    <t>HYDRO SOFT PU COATED LEATHER - EPM 3</t>
  </si>
  <si>
    <t>SEMI FULL GRAIN (RS) - EPM 5</t>
  </si>
  <si>
    <t>ACTION LEATHER - EPM 5</t>
  </si>
  <si>
    <t>Mr.David</t>
  </si>
  <si>
    <t>Matt Ho / Diah</t>
  </si>
  <si>
    <t>SOFT PU COATED LEATHER (MAP-SOFT PU)</t>
  </si>
  <si>
    <t>BABY SOFT PATENT LEATHER</t>
  </si>
  <si>
    <t>Srie Rahayu</t>
  </si>
  <si>
    <t>Srie Rahayu / Harum</t>
  </si>
  <si>
    <t>NELA</t>
  </si>
  <si>
    <t>HW035</t>
  </si>
  <si>
    <t>: PT. HWA SEUNG INDONESIA</t>
  </si>
  <si>
    <t>'LACCATTO PATENT LEATHER - EPM 5</t>
  </si>
  <si>
    <t>LS-SHIFT PATENT LEATHER</t>
  </si>
  <si>
    <t>BI020</t>
  </si>
  <si>
    <t>'PRINCESS LEATHER</t>
  </si>
  <si>
    <t>Ms. Monica</t>
  </si>
  <si>
    <t>: PT. PARKLAND WORLD INDONESIA 3</t>
  </si>
  <si>
    <t>PU COATED LEATHER (MAP-ACTION LEATHER) AR-140</t>
  </si>
  <si>
    <t>SOFT PU COATED LEATHER (MAP-SOFT PU) AR-140</t>
  </si>
  <si>
    <t>SKIN SIZE</t>
  </si>
  <si>
    <t>2. Defective Area of PU coated from 10% down will be absorbsed by the buyer</t>
  </si>
  <si>
    <t>COW SPLIT LEATHER (SUEDE)</t>
  </si>
  <si>
    <t>SPLIT SUEDE</t>
  </si>
  <si>
    <t>Price (USD) SS26</t>
  </si>
  <si>
    <t>3. Defective Area of SUEDE coated from 15% down will be absorbsed by the buyer</t>
  </si>
  <si>
    <t>4. Term of payment : T/T 60 days</t>
  </si>
  <si>
    <t>5. This Quotation is for ADIDAS brand only!</t>
  </si>
  <si>
    <t xml:space="preserve">6. 1-5000 sf order, over delivery within 50sf </t>
  </si>
  <si>
    <t xml:space="preserve">7. 1-5000 sf order, over delivery within 50sf </t>
  </si>
  <si>
    <t>9. Sample order part : The over delivery rate is within one skin</t>
  </si>
  <si>
    <t>10. If there is unannimity about quotation above please send back with your agreement in three days, or we will regard it as you have accepted. TKS!</t>
  </si>
  <si>
    <t>3. Defective Area of PU coated from 10% down will be absorbsed by the buyer</t>
  </si>
  <si>
    <t>4. Defective Area of SUEDE coated from 15% down will be absorbsed by the buyer</t>
  </si>
  <si>
    <t>5. Term of payment : T/T 60 days</t>
  </si>
  <si>
    <t>6. This Quotation is for ADIDAS brand only!</t>
  </si>
  <si>
    <t>10. Sample order part : The over delivery rate is within one skin</t>
  </si>
  <si>
    <t>11. If there is unannimity about quotation above please send back with your agreement in three days, or we will regard it as you have accepted. TKS!</t>
  </si>
  <si>
    <t xml:space="preserve">10. Minimum delivery is 20K SF, if under such numbers, customer must pick up the material by themselves. </t>
  </si>
  <si>
    <t>7. 5001-10000 sf order over delivery rate within 1.5%</t>
  </si>
  <si>
    <t>8. For order over 10001sf, the over delivery rate within 2%</t>
  </si>
  <si>
    <t>8. 5001-10000 sf order over delivery rate within 1.5%</t>
  </si>
  <si>
    <t>9. For order over 10001sf, the over delivery rate within 2%</t>
  </si>
  <si>
    <t>: PT. Hardases Abadi Indonesia</t>
  </si>
  <si>
    <t>HI-001</t>
  </si>
  <si>
    <t>4. Term of payment : T/T 30 days</t>
  </si>
  <si>
    <t>CASHMERE SUEDE</t>
  </si>
  <si>
    <t>HI SUEDE</t>
  </si>
  <si>
    <t>PA009</t>
  </si>
  <si>
    <t>Bu Tarti/Ratih</t>
  </si>
  <si>
    <t>: (0254) 402301</t>
  </si>
  <si>
    <t xml:space="preserve">: PT ADONIA FOOTWEAR INDONESIA </t>
  </si>
  <si>
    <t>LEBAKSIU KAB. TEGAL JAWA TENGAH 52461</t>
  </si>
  <si>
    <t>RT 005 RW 006 LEBAKSIU KIDUL</t>
  </si>
  <si>
    <t>AD003</t>
  </si>
  <si>
    <t>Ken</t>
  </si>
  <si>
    <t>METAL LEATHER - PATENT</t>
  </si>
  <si>
    <t>-</t>
  </si>
  <si>
    <t>LR029</t>
  </si>
  <si>
    <t xml:space="preserve">DESA SIDARESMI KEC. PABEDILAN </t>
  </si>
  <si>
    <t>KAB.CIREBON, JAWA BARAT INDONESIA 45193</t>
  </si>
  <si>
    <t>PT. LONG RICH INDONESIA</t>
  </si>
  <si>
    <t>: -</t>
  </si>
  <si>
    <t>: 28/11/2025</t>
  </si>
  <si>
    <t>SUEDE</t>
  </si>
  <si>
    <t>1. Quotation Period of validity  :  2026/02/01 - 2026/07/31</t>
  </si>
  <si>
    <t>Devy Nopitasari</t>
  </si>
  <si>
    <t>Albert Senjaya</t>
  </si>
  <si>
    <t>Eka Susilawati</t>
  </si>
  <si>
    <t>ADCI-FW26</t>
  </si>
  <si>
    <t>PCI-FW26</t>
  </si>
  <si>
    <t>PGD I-FW26</t>
  </si>
  <si>
    <t>BIG-FW26</t>
  </si>
  <si>
    <t>PRB-FW26</t>
  </si>
  <si>
    <t>TSH-FW26</t>
  </si>
  <si>
    <t>PGS-FW26</t>
  </si>
  <si>
    <t>HWI-FW26</t>
  </si>
  <si>
    <t>PWI3-FW26</t>
  </si>
  <si>
    <t>HAI-FW26</t>
  </si>
  <si>
    <t>PWI1-FW26</t>
  </si>
  <si>
    <t>ADONIA-FW26</t>
  </si>
  <si>
    <t>LONGRICH-FW26</t>
  </si>
  <si>
    <t>2. For ADCI this season FW26 diskon 50%</t>
  </si>
  <si>
    <t>HWP-FW26</t>
  </si>
  <si>
    <t>HW036</t>
  </si>
  <si>
    <t>DENTA</t>
  </si>
  <si>
    <t>: PT. PARKLAND WORLD INDONESIA 1</t>
  </si>
  <si>
    <t>PA010</t>
  </si>
  <si>
    <t>PEIHAI-FW26</t>
  </si>
  <si>
    <t>PH001</t>
  </si>
  <si>
    <t>DARTIK HOSMAN</t>
  </si>
  <si>
    <t>PT. PEI HAI INTERNATIONAL WIRATAMA INDONESIA</t>
  </si>
  <si>
    <t>AROMA-FW26</t>
  </si>
  <si>
    <t>AF001</t>
  </si>
  <si>
    <t>Carla</t>
  </si>
  <si>
    <t>PT. AROMA FOOTWEAR INDONESIA</t>
  </si>
  <si>
    <t>: 18/12/2025</t>
  </si>
  <si>
    <t>4. Term of payment : T/T 30 Days</t>
  </si>
  <si>
    <t>Price (USD) FW26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</si>
</sst>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Segoe MDL2 Assets"/>
      <family val="1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quotePrefix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0" borderId="7" xfId="0" applyFont="1" applyBorder="1"/>
    <xf numFmtId="0" fontId="6" fillId="0" borderId="8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2" xfId="0" applyFont="1" applyBorder="1" applyAlignment="1">
      <alignment horizontal="center" vertical="center"/>
    </xf>
    <xf numFmtId="0" fontId="10" fillId="0" borderId="0" xfId="0" applyFont="1"/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9" fillId="0" borderId="0" xfId="0" applyFont="1"/>
    <xf numFmtId="0" fontId="3" fillId="0" borderId="7" xfId="0" applyFont="1" applyBorder="1"/>
    <xf numFmtId="0" fontId="3" fillId="0" borderId="8" xfId="0" applyFont="1" applyBorder="1"/>
    <xf numFmtId="0" fontId="0" fillId="0" borderId="17" xfId="0" applyBorder="1"/>
    <xf numFmtId="0" fontId="6" fillId="0" borderId="3" xfId="0" applyFont="1" applyBorder="1"/>
    <xf numFmtId="0" fontId="0" fillId="3" borderId="0" xfId="0" applyFill="1"/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6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shrinkToFi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zoomScale="85" zoomScaleNormal="85" workbookViewId="0">
      <selection activeCell="C29" sqref="C29:D29"/>
    </sheetView>
  </sheetViews>
  <sheetFormatPr defaultRowHeight="15" x14ac:dyDescent="0.25"/>
  <cols>
    <col min="1" max="1" width="7.5703125" style="2" customWidth="1"/>
    <col min="2" max="2" width="4.140625" style="2" bestFit="1" customWidth="1"/>
    <col min="3" max="3" width="25.28515625" style="2" customWidth="1"/>
    <col min="4" max="4" width="6.140625" style="2" customWidth="1"/>
    <col min="5" max="5" width="26.140625" style="2" customWidth="1"/>
    <col min="6" max="6" width="42.28515625" style="2" customWidth="1"/>
    <col min="7" max="7" width="1.42578125" style="2" bestFit="1" customWidth="1"/>
    <col min="8" max="8" width="17.5703125" style="2" customWidth="1"/>
    <col min="9" max="12" width="10.7109375" style="2" customWidth="1"/>
    <col min="13" max="13" width="16" style="2" bestFit="1" customWidth="1"/>
    <col min="14" max="14" width="11" style="2" customWidth="1"/>
    <col min="15" max="15" width="10" style="2" customWidth="1"/>
    <col min="16" max="16" width="10.140625" style="2" customWidth="1"/>
    <col min="17" max="17" width="13.140625" style="2" customWidth="1"/>
    <col min="18" max="18" width="6.140625" style="2" customWidth="1"/>
    <col min="19" max="16384" width="9.140625" style="2"/>
  </cols>
  <sheetData>
    <row r="1" spans="1:18" s="1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s="6" customFormat="1" ht="15.75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1:18" s="6" customFormat="1" ht="15.75" x14ac:dyDescent="0.25">
      <c r="A3" s="60" t="s">
        <v>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s="5" customFormat="1" ht="16.5" thickBot="1" x14ac:dyDescent="0.3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s="6" customFormat="1" ht="6.75" customHeight="1" thickTop="1" x14ac:dyDescent="0.25">
      <c r="A5" s="23"/>
      <c r="R5" s="24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137</v>
      </c>
      <c r="H6" s="6" t="s">
        <v>6</v>
      </c>
      <c r="J6" s="6" t="s">
        <v>48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56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72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4" customFormat="1" ht="15.75" x14ac:dyDescent="0.15">
      <c r="A10" s="38"/>
      <c r="R10" s="39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31.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J17" si="0">I13+0.03</f>
        <v>1.1500000000000001</v>
      </c>
      <c r="K13" s="19">
        <f t="shared" ref="K13" si="1">J13+0.03</f>
        <v>1.1800000000000002</v>
      </c>
      <c r="L13" s="20">
        <f t="shared" ref="L13:L16" si="2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31.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ref="K14" si="3">J14+0.03</f>
        <v>1.3800000000000001</v>
      </c>
      <c r="L14" s="20">
        <f t="shared" si="2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31.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2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31.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2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31.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ref="L17" si="4">K17+0.1</f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31.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ref="J18:K18" si="5">I18+0.03</f>
        <v>1.18</v>
      </c>
      <c r="K18" s="19">
        <f t="shared" si="5"/>
        <v>1.21</v>
      </c>
      <c r="L18" s="20">
        <f t="shared" ref="L18:L22" si="6">K18+0.1</f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31.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31.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31.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6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31.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6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31.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ref="L23:L24" si="7">K23+0.1</f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31.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7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31.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ref="L25" si="8">K25+0.1</f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31.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31.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" si="9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31.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ref="L28:L29" si="10">K28+0.1</f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31.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10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customFormat="1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customFormat="1" x14ac:dyDescent="0.25">
      <c r="A31" s="21"/>
      <c r="C31" t="s">
        <v>133</v>
      </c>
      <c r="R31" s="22"/>
    </row>
    <row r="32" spans="1:18" customFormat="1" x14ac:dyDescent="0.25">
      <c r="A32" s="21"/>
      <c r="C32" t="s">
        <v>150</v>
      </c>
      <c r="R32" s="22"/>
    </row>
    <row r="33" spans="1:18" customFormat="1" x14ac:dyDescent="0.25">
      <c r="A33" s="21"/>
      <c r="C33" t="s">
        <v>100</v>
      </c>
      <c r="R33" s="22"/>
    </row>
    <row r="34" spans="1:18" customFormat="1" x14ac:dyDescent="0.25">
      <c r="A34" s="21"/>
      <c r="C34" t="s">
        <v>101</v>
      </c>
      <c r="R34" s="22"/>
    </row>
    <row r="35" spans="1:18" customFormat="1" x14ac:dyDescent="0.25">
      <c r="A35" s="21"/>
      <c r="C35" t="s">
        <v>102</v>
      </c>
      <c r="R35" s="22"/>
    </row>
    <row r="36" spans="1:18" customFormat="1" x14ac:dyDescent="0.25">
      <c r="A36" s="21"/>
      <c r="C36" t="s">
        <v>103</v>
      </c>
      <c r="R36" s="22"/>
    </row>
    <row r="37" spans="1:18" customFormat="1" x14ac:dyDescent="0.25">
      <c r="A37" s="21"/>
      <c r="C37" t="s">
        <v>97</v>
      </c>
      <c r="R37" s="22"/>
    </row>
    <row r="38" spans="1:18" customFormat="1" x14ac:dyDescent="0.25">
      <c r="A38" s="21"/>
      <c r="C38" t="s">
        <v>109</v>
      </c>
      <c r="R38" s="22"/>
    </row>
    <row r="39" spans="1:18" customFormat="1" x14ac:dyDescent="0.25">
      <c r="A39" s="21"/>
      <c r="C39" t="s">
        <v>110</v>
      </c>
      <c r="R39" s="22"/>
    </row>
    <row r="40" spans="1:18" customFormat="1" x14ac:dyDescent="0.25">
      <c r="A40" s="21"/>
      <c r="C40" t="s">
        <v>104</v>
      </c>
      <c r="R40" s="22"/>
    </row>
    <row r="41" spans="1:18" customFormat="1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customFormat="1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40"/>
      <c r="R43" s="41"/>
    </row>
    <row r="44" spans="1:18" x14ac:dyDescent="0.25">
      <c r="A44" s="40"/>
      <c r="R44" s="41"/>
    </row>
    <row r="45" spans="1:18" x14ac:dyDescent="0.25">
      <c r="A45" s="40"/>
      <c r="R45" s="41"/>
    </row>
    <row r="46" spans="1:18" x14ac:dyDescent="0.25">
      <c r="A46" s="40"/>
      <c r="R46" s="41"/>
    </row>
    <row r="47" spans="1:18" ht="15.75" thickBot="1" x14ac:dyDescent="0.3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4"/>
    </row>
  </sheetData>
  <mergeCells count="50">
    <mergeCell ref="C25:D25"/>
    <mergeCell ref="G25:H25"/>
    <mergeCell ref="G23:H23"/>
    <mergeCell ref="C24:D24"/>
    <mergeCell ref="G24:H24"/>
    <mergeCell ref="C23:D23"/>
    <mergeCell ref="G16:H16"/>
    <mergeCell ref="C16:D16"/>
    <mergeCell ref="C15:D15"/>
    <mergeCell ref="G15:H15"/>
    <mergeCell ref="C18:D18"/>
    <mergeCell ref="G18:H18"/>
    <mergeCell ref="A1:R1"/>
    <mergeCell ref="A2:R2"/>
    <mergeCell ref="A3:R3"/>
    <mergeCell ref="A4:R4"/>
    <mergeCell ref="C27:D27"/>
    <mergeCell ref="G27:H27"/>
    <mergeCell ref="C21:D21"/>
    <mergeCell ref="G21:H21"/>
    <mergeCell ref="C19:D19"/>
    <mergeCell ref="G19:H19"/>
    <mergeCell ref="I11:M11"/>
    <mergeCell ref="B11:B12"/>
    <mergeCell ref="C11:D12"/>
    <mergeCell ref="E11:E12"/>
    <mergeCell ref="F11:F12"/>
    <mergeCell ref="G11:H12"/>
    <mergeCell ref="B30:C30"/>
    <mergeCell ref="M8:N8"/>
    <mergeCell ref="G14:H14"/>
    <mergeCell ref="C14:D14"/>
    <mergeCell ref="Q11:Q12"/>
    <mergeCell ref="C13:D13"/>
    <mergeCell ref="G13:H13"/>
    <mergeCell ref="M9:N9"/>
    <mergeCell ref="N11:O11"/>
    <mergeCell ref="P11:P12"/>
    <mergeCell ref="C20:D20"/>
    <mergeCell ref="G20:H20"/>
    <mergeCell ref="C22:D22"/>
    <mergeCell ref="G22:H22"/>
    <mergeCell ref="C17:D17"/>
    <mergeCell ref="G17:H17"/>
    <mergeCell ref="C28:D28"/>
    <mergeCell ref="C29:D29"/>
    <mergeCell ref="G28:H28"/>
    <mergeCell ref="G29:H29"/>
    <mergeCell ref="C26:D26"/>
    <mergeCell ref="G26:H26"/>
  </mergeCells>
  <pageMargins left="0.27" right="0" top="0.36" bottom="0" header="0.2" footer="0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7"/>
  <sheetViews>
    <sheetView zoomScale="85" zoomScaleNormal="85" workbookViewId="0">
      <selection activeCell="A4" sqref="A4:R4"/>
    </sheetView>
  </sheetViews>
  <sheetFormatPr defaultRowHeight="15" x14ac:dyDescent="0.25"/>
  <cols>
    <col min="1" max="1" width="6.7109375" customWidth="1"/>
    <col min="2" max="2" width="4.140625" bestFit="1" customWidth="1"/>
    <col min="3" max="3" width="25.28515625" customWidth="1"/>
    <col min="4" max="4" width="1.7109375" customWidth="1"/>
    <col min="5" max="5" width="24.140625" customWidth="1"/>
    <col min="6" max="6" width="41.140625" customWidth="1"/>
    <col min="7" max="7" width="1.42578125" bestFit="1" customWidth="1"/>
    <col min="8" max="8" width="17.5703125" customWidth="1"/>
    <col min="9" max="12" width="10.7109375" customWidth="1"/>
    <col min="13" max="13" width="12.5703125" customWidth="1"/>
    <col min="14" max="14" width="11" customWidth="1"/>
    <col min="15" max="15" width="10" customWidth="1"/>
    <col min="16" max="16" width="10.140625" customWidth="1"/>
    <col min="17" max="17" width="11.5703125" customWidth="1"/>
    <col min="18" max="18" width="7.425781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9.7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138</v>
      </c>
      <c r="H6" s="6" t="s">
        <v>6</v>
      </c>
      <c r="J6" s="6" t="s">
        <v>48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56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57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6" customFormat="1" ht="10.5" customHeight="1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7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7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7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7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7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7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7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7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7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7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7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7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7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7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7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7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7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s="5" customFormat="1" ht="15.75" x14ac:dyDescent="0.25">
      <c r="A30" s="27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8"/>
    </row>
    <row r="31" spans="1:18" s="5" customFormat="1" ht="15.75" x14ac:dyDescent="0.25">
      <c r="A31" s="27"/>
      <c r="B31"/>
      <c r="C31" t="s">
        <v>133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s="28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94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34"/>
      <c r="B40" s="13"/>
      <c r="C40" s="13" t="s">
        <v>99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35"/>
    </row>
    <row r="41" spans="1:18" x14ac:dyDescent="0.25">
      <c r="A41" s="21"/>
      <c r="C41" t="s">
        <v>40</v>
      </c>
      <c r="F41" t="s">
        <v>41</v>
      </c>
      <c r="I41" t="s">
        <v>42</v>
      </c>
      <c r="M41" t="s">
        <v>43</v>
      </c>
      <c r="R41" s="22"/>
    </row>
    <row r="42" spans="1:18" x14ac:dyDescent="0.25">
      <c r="A42" s="21"/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ht="15.75" thickBot="1" x14ac:dyDescent="0.3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1"/>
    </row>
  </sheetData>
  <mergeCells count="50">
    <mergeCell ref="P11:P12"/>
    <mergeCell ref="Q11:Q12"/>
    <mergeCell ref="I11:M11"/>
    <mergeCell ref="C18:D18"/>
    <mergeCell ref="G18:H18"/>
    <mergeCell ref="C17:D17"/>
    <mergeCell ref="G17:H17"/>
    <mergeCell ref="C15:D15"/>
    <mergeCell ref="G15:H15"/>
    <mergeCell ref="C16:D16"/>
    <mergeCell ref="G16:H16"/>
    <mergeCell ref="C13:D13"/>
    <mergeCell ref="G13:H13"/>
    <mergeCell ref="C14:D14"/>
    <mergeCell ref="G14:H14"/>
    <mergeCell ref="N11:O11"/>
    <mergeCell ref="C26:D26"/>
    <mergeCell ref="G26:H26"/>
    <mergeCell ref="C23:D23"/>
    <mergeCell ref="G23:H23"/>
    <mergeCell ref="M8:N8"/>
    <mergeCell ref="M9:N9"/>
    <mergeCell ref="E11:E12"/>
    <mergeCell ref="F11:F12"/>
    <mergeCell ref="G11:H12"/>
    <mergeCell ref="C20:D20"/>
    <mergeCell ref="G20:H20"/>
    <mergeCell ref="C19:D19"/>
    <mergeCell ref="G19:H19"/>
    <mergeCell ref="C28:D28"/>
    <mergeCell ref="G28:H28"/>
    <mergeCell ref="C29:D29"/>
    <mergeCell ref="G29:H29"/>
    <mergeCell ref="B30:C30"/>
    <mergeCell ref="A1:R1"/>
    <mergeCell ref="A2:R2"/>
    <mergeCell ref="A3:R3"/>
    <mergeCell ref="A4:R4"/>
    <mergeCell ref="C27:D27"/>
    <mergeCell ref="G27:H27"/>
    <mergeCell ref="C24:D24"/>
    <mergeCell ref="G24:H24"/>
    <mergeCell ref="C25:D25"/>
    <mergeCell ref="G25:H25"/>
    <mergeCell ref="C21:D21"/>
    <mergeCell ref="G21:H21"/>
    <mergeCell ref="C22:D22"/>
    <mergeCell ref="G22:H22"/>
    <mergeCell ref="B11:B12"/>
    <mergeCell ref="C11:D12"/>
  </mergeCells>
  <pageMargins left="0.35" right="0.22" top="0.39" bottom="0.25" header="0.33" footer="0"/>
  <pageSetup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8"/>
  <sheetViews>
    <sheetView zoomScale="85" zoomScaleNormal="85" workbookViewId="0">
      <selection activeCell="F14" sqref="F14"/>
    </sheetView>
  </sheetViews>
  <sheetFormatPr defaultRowHeight="15" x14ac:dyDescent="0.25"/>
  <cols>
    <col min="1" max="1" width="7.5703125" customWidth="1"/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41.140625" customWidth="1"/>
    <col min="7" max="7" width="1.42578125" bestFit="1" customWidth="1"/>
    <col min="8" max="8" width="18.85546875" customWidth="1"/>
    <col min="9" max="11" width="10.7109375" customWidth="1"/>
    <col min="12" max="12" width="13" customWidth="1"/>
    <col min="13" max="13" width="16" customWidth="1"/>
    <col min="14" max="14" width="11" customWidth="1"/>
    <col min="15" max="15" width="12.28515625" customWidth="1"/>
    <col min="16" max="16" width="10.140625" customWidth="1"/>
    <col min="17" max="17" width="11.5703125" customWidth="1"/>
    <col min="18" max="18" width="7.57031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0.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139</v>
      </c>
      <c r="H6" s="6" t="s">
        <v>6</v>
      </c>
      <c r="J6" s="6" t="s">
        <v>7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58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14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134</v>
      </c>
      <c r="H9" s="6" t="s">
        <v>17</v>
      </c>
      <c r="J9" s="6" t="s">
        <v>18</v>
      </c>
      <c r="K9" s="36"/>
      <c r="M9" s="56" t="s">
        <v>19</v>
      </c>
      <c r="N9" s="56"/>
      <c r="O9" s="6" t="s">
        <v>20</v>
      </c>
      <c r="R9" s="24"/>
    </row>
    <row r="10" spans="1:18" s="6" customFormat="1" ht="12.75" customHeight="1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7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7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7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7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7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7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7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7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7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7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7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7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7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7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7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7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7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94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</sheetData>
  <mergeCells count="50">
    <mergeCell ref="M8:N8"/>
    <mergeCell ref="M9:N9"/>
    <mergeCell ref="N11:O11"/>
    <mergeCell ref="I11:M11"/>
    <mergeCell ref="C20:D20"/>
    <mergeCell ref="G20:H20"/>
    <mergeCell ref="C14:D14"/>
    <mergeCell ref="G14:H14"/>
    <mergeCell ref="C15:D15"/>
    <mergeCell ref="G15:H15"/>
    <mergeCell ref="C16:D16"/>
    <mergeCell ref="G16:H16"/>
    <mergeCell ref="B11:B12"/>
    <mergeCell ref="C11:D12"/>
    <mergeCell ref="E11:E12"/>
    <mergeCell ref="F11:F12"/>
    <mergeCell ref="G11:H12"/>
    <mergeCell ref="B30:C30"/>
    <mergeCell ref="C25:D25"/>
    <mergeCell ref="G25:H25"/>
    <mergeCell ref="C26:D26"/>
    <mergeCell ref="G26:H26"/>
    <mergeCell ref="C28:D28"/>
    <mergeCell ref="G28:H28"/>
    <mergeCell ref="C29:D29"/>
    <mergeCell ref="G29:H29"/>
    <mergeCell ref="C27:D27"/>
    <mergeCell ref="G27:H27"/>
    <mergeCell ref="C21:D21"/>
    <mergeCell ref="G21:H21"/>
    <mergeCell ref="C22:D22"/>
    <mergeCell ref="G22:H22"/>
    <mergeCell ref="C23:D23"/>
    <mergeCell ref="G23:H23"/>
    <mergeCell ref="C24:D24"/>
    <mergeCell ref="G24:H24"/>
    <mergeCell ref="A1:R1"/>
    <mergeCell ref="A2:R2"/>
    <mergeCell ref="A3:R3"/>
    <mergeCell ref="A4:R4"/>
    <mergeCell ref="C18:D18"/>
    <mergeCell ref="G18:H18"/>
    <mergeCell ref="C19:D19"/>
    <mergeCell ref="G19:H19"/>
    <mergeCell ref="P11:P12"/>
    <mergeCell ref="Q11:Q12"/>
    <mergeCell ref="C13:D13"/>
    <mergeCell ref="G13:H13"/>
    <mergeCell ref="C17:D17"/>
    <mergeCell ref="G17:H17"/>
  </mergeCells>
  <pageMargins left="0.41" right="0.26" top="0.43" bottom="0" header="0.23" footer="0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8"/>
  <sheetViews>
    <sheetView topLeftCell="A16" zoomScale="85" zoomScaleNormal="85" workbookViewId="0">
      <selection activeCell="E39" sqref="E39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6.425781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0" customWidth="1"/>
    <col min="16" max="16" width="10.140625" customWidth="1"/>
    <col min="17" max="17" width="11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140</v>
      </c>
      <c r="H6" s="6" t="s">
        <v>6</v>
      </c>
      <c r="J6" s="6" t="s">
        <v>61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82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62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76</v>
      </c>
      <c r="H9" s="6" t="s">
        <v>17</v>
      </c>
      <c r="J9" s="6" t="s">
        <v>5</v>
      </c>
      <c r="K9" s="36"/>
      <c r="M9" s="56" t="s">
        <v>19</v>
      </c>
      <c r="N9" s="56"/>
      <c r="O9" s="6" t="s">
        <v>20</v>
      </c>
      <c r="R9" s="24"/>
    </row>
    <row r="10" spans="1:18" s="6" customFormat="1" ht="15.75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7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7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7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7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7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7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7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7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7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7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7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7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7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7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7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7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7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</sheetData>
  <mergeCells count="50">
    <mergeCell ref="C27:D27"/>
    <mergeCell ref="G27:H27"/>
    <mergeCell ref="C28:D28"/>
    <mergeCell ref="G28:H28"/>
    <mergeCell ref="C29:D29"/>
    <mergeCell ref="G29:H29"/>
    <mergeCell ref="G26:H26"/>
    <mergeCell ref="C21:D21"/>
    <mergeCell ref="G21:H21"/>
    <mergeCell ref="C22:D22"/>
    <mergeCell ref="G22:H22"/>
    <mergeCell ref="C23:D23"/>
    <mergeCell ref="G23:H23"/>
    <mergeCell ref="B30:C30"/>
    <mergeCell ref="E11:E12"/>
    <mergeCell ref="F11:F12"/>
    <mergeCell ref="G11:H12"/>
    <mergeCell ref="N11:O11"/>
    <mergeCell ref="C20:D20"/>
    <mergeCell ref="G20:H20"/>
    <mergeCell ref="C14:D14"/>
    <mergeCell ref="G14:H14"/>
    <mergeCell ref="C15:D15"/>
    <mergeCell ref="G15:H15"/>
    <mergeCell ref="C16:D16"/>
    <mergeCell ref="G16:H16"/>
    <mergeCell ref="C25:D25"/>
    <mergeCell ref="G25:H25"/>
    <mergeCell ref="C26:D26"/>
    <mergeCell ref="B11:B12"/>
    <mergeCell ref="C11:D12"/>
    <mergeCell ref="A1:R1"/>
    <mergeCell ref="A2:R2"/>
    <mergeCell ref="A3:R3"/>
    <mergeCell ref="A4:R4"/>
    <mergeCell ref="M8:N8"/>
    <mergeCell ref="M9:N9"/>
    <mergeCell ref="I11:M11"/>
    <mergeCell ref="C17:D17"/>
    <mergeCell ref="G17:H17"/>
    <mergeCell ref="P11:P12"/>
    <mergeCell ref="Q11:Q12"/>
    <mergeCell ref="C13:D13"/>
    <mergeCell ref="G13:H13"/>
    <mergeCell ref="C18:D18"/>
    <mergeCell ref="G18:H18"/>
    <mergeCell ref="C19:D19"/>
    <mergeCell ref="G19:H19"/>
    <mergeCell ref="C24:D24"/>
    <mergeCell ref="G24:H24"/>
  </mergeCells>
  <pageMargins left="0.25" right="0.21" top="0.38" bottom="0" header="0.27" footer="0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48"/>
  <sheetViews>
    <sheetView topLeftCell="A19" zoomScale="85" zoomScaleNormal="85" workbookViewId="0">
      <selection activeCell="E45" sqref="E45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6.8554687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0" customWidth="1"/>
    <col min="16" max="16" width="10.140625" customWidth="1"/>
    <col min="17" max="17" width="12.57031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x14ac:dyDescent="0.25">
      <c r="A6" s="21"/>
      <c r="R6" s="22"/>
    </row>
    <row r="7" spans="1:18" s="6" customFormat="1" ht="15.75" x14ac:dyDescent="0.25">
      <c r="A7" s="23"/>
      <c r="C7" s="6" t="s">
        <v>4</v>
      </c>
      <c r="D7" s="6" t="s">
        <v>5</v>
      </c>
      <c r="E7" s="6" t="s">
        <v>141</v>
      </c>
      <c r="H7" s="6" t="s">
        <v>6</v>
      </c>
      <c r="J7" s="6" t="s">
        <v>53</v>
      </c>
      <c r="K7" s="36"/>
      <c r="R7" s="24"/>
    </row>
    <row r="8" spans="1:18" s="6" customFormat="1" ht="15.75" x14ac:dyDescent="0.25">
      <c r="A8" s="23"/>
      <c r="C8" s="6" t="s">
        <v>8</v>
      </c>
      <c r="D8" s="6" t="s">
        <v>5</v>
      </c>
      <c r="E8" s="6" t="s">
        <v>60</v>
      </c>
      <c r="H8" s="6" t="s">
        <v>9</v>
      </c>
      <c r="J8" s="6" t="s">
        <v>10</v>
      </c>
      <c r="K8" s="36"/>
      <c r="R8" s="24"/>
    </row>
    <row r="9" spans="1:18" s="6" customFormat="1" ht="15.75" x14ac:dyDescent="0.25">
      <c r="A9" s="23"/>
      <c r="C9" s="6" t="s">
        <v>11</v>
      </c>
      <c r="D9" s="6" t="s">
        <v>5</v>
      </c>
      <c r="E9" s="6" t="s">
        <v>12</v>
      </c>
      <c r="H9" s="6" t="s">
        <v>13</v>
      </c>
      <c r="J9" s="6" t="s">
        <v>18</v>
      </c>
      <c r="K9" s="36"/>
      <c r="M9" s="54" t="s">
        <v>15</v>
      </c>
      <c r="N9" s="54"/>
      <c r="O9" s="6" t="s">
        <v>131</v>
      </c>
      <c r="R9" s="24"/>
    </row>
    <row r="10" spans="1:18" s="6" customFormat="1" ht="15.75" x14ac:dyDescent="0.25">
      <c r="A10" s="23"/>
      <c r="C10" s="6" t="s">
        <v>16</v>
      </c>
      <c r="D10" s="6" t="s">
        <v>5</v>
      </c>
      <c r="E10" s="6" t="s">
        <v>75</v>
      </c>
      <c r="H10" s="6" t="s">
        <v>17</v>
      </c>
      <c r="J10" s="6" t="s">
        <v>18</v>
      </c>
      <c r="K10" s="36"/>
      <c r="M10" s="56" t="s">
        <v>19</v>
      </c>
      <c r="N10" s="56"/>
      <c r="O10" s="6" t="s">
        <v>20</v>
      </c>
      <c r="R10" s="24"/>
    </row>
    <row r="11" spans="1:18" s="6" customFormat="1" ht="15.75" x14ac:dyDescent="0.25">
      <c r="A11" s="23"/>
      <c r="R11" s="24"/>
    </row>
    <row r="12" spans="1:18" s="14" customFormat="1" ht="15.75" x14ac:dyDescent="0.25">
      <c r="A12" s="25"/>
      <c r="B12" s="55" t="s">
        <v>21</v>
      </c>
      <c r="C12" s="55" t="s">
        <v>22</v>
      </c>
      <c r="D12" s="55"/>
      <c r="E12" s="55" t="s">
        <v>23</v>
      </c>
      <c r="F12" s="66" t="s">
        <v>24</v>
      </c>
      <c r="G12" s="55" t="s">
        <v>25</v>
      </c>
      <c r="H12" s="55"/>
      <c r="I12" s="55" t="s">
        <v>92</v>
      </c>
      <c r="J12" s="55"/>
      <c r="K12" s="55"/>
      <c r="L12" s="55"/>
      <c r="M12" s="55"/>
      <c r="N12" s="55" t="s">
        <v>26</v>
      </c>
      <c r="O12" s="55"/>
      <c r="P12" s="55" t="s">
        <v>88</v>
      </c>
      <c r="Q12" s="55" t="s">
        <v>27</v>
      </c>
      <c r="R12" s="26"/>
    </row>
    <row r="13" spans="1:18" s="14" customFormat="1" ht="27.75" customHeight="1" x14ac:dyDescent="0.25">
      <c r="A13" s="25"/>
      <c r="B13" s="55"/>
      <c r="C13" s="55"/>
      <c r="D13" s="55"/>
      <c r="E13" s="55"/>
      <c r="F13" s="66"/>
      <c r="G13" s="55"/>
      <c r="H13" s="55"/>
      <c r="I13" s="17" t="s">
        <v>28</v>
      </c>
      <c r="J13" s="17" t="s">
        <v>29</v>
      </c>
      <c r="K13" s="17" t="s">
        <v>30</v>
      </c>
      <c r="L13" s="17" t="s">
        <v>31</v>
      </c>
      <c r="M13" s="18" t="s">
        <v>32</v>
      </c>
      <c r="N13" s="17" t="s">
        <v>33</v>
      </c>
      <c r="O13" s="17" t="s">
        <v>34</v>
      </c>
      <c r="P13" s="55"/>
      <c r="Q13" s="55"/>
      <c r="R13" s="26"/>
    </row>
    <row r="14" spans="1:18" s="5" customFormat="1" ht="27.75" customHeight="1" x14ac:dyDescent="0.25">
      <c r="A14" s="27"/>
      <c r="B14" s="7">
        <v>1</v>
      </c>
      <c r="C14" s="51" t="s">
        <v>35</v>
      </c>
      <c r="D14" s="51"/>
      <c r="E14" s="7" t="s">
        <v>36</v>
      </c>
      <c r="F14" s="8" t="s">
        <v>51</v>
      </c>
      <c r="G14" s="52" t="s">
        <v>38</v>
      </c>
      <c r="H14" s="52"/>
      <c r="I14" s="19">
        <v>1.1200000000000001</v>
      </c>
      <c r="J14" s="19">
        <f t="shared" ref="J14:K19" si="0">I14+0.03</f>
        <v>1.1500000000000001</v>
      </c>
      <c r="K14" s="19">
        <f t="shared" si="0"/>
        <v>1.1800000000000002</v>
      </c>
      <c r="L14" s="20">
        <f t="shared" ref="L14:L26" si="1">K14+0.1</f>
        <v>1.2800000000000002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7.75" customHeight="1" x14ac:dyDescent="0.25">
      <c r="A15" s="27"/>
      <c r="B15" s="7">
        <v>2</v>
      </c>
      <c r="C15" s="51" t="s">
        <v>35</v>
      </c>
      <c r="D15" s="51"/>
      <c r="E15" s="7" t="s">
        <v>36</v>
      </c>
      <c r="F15" s="8" t="s">
        <v>86</v>
      </c>
      <c r="G15" s="52" t="s">
        <v>38</v>
      </c>
      <c r="H15" s="52"/>
      <c r="I15" s="19">
        <v>1.32</v>
      </c>
      <c r="J15" s="19">
        <f t="shared" si="0"/>
        <v>1.35</v>
      </c>
      <c r="K15" s="19">
        <f t="shared" si="0"/>
        <v>1.3800000000000001</v>
      </c>
      <c r="L15" s="20">
        <f t="shared" si="1"/>
        <v>1.4800000000000002</v>
      </c>
      <c r="M15" s="9" t="s">
        <v>37</v>
      </c>
      <c r="N15" s="10" t="s">
        <v>55</v>
      </c>
      <c r="O15" s="10" t="s">
        <v>64</v>
      </c>
      <c r="P15" s="11" t="s">
        <v>44</v>
      </c>
      <c r="Q15" s="8"/>
      <c r="R15" s="28"/>
    </row>
    <row r="16" spans="1:18" s="5" customFormat="1" ht="27.75" customHeight="1" x14ac:dyDescent="0.25">
      <c r="A16" s="27"/>
      <c r="B16" s="7">
        <v>3</v>
      </c>
      <c r="C16" s="51" t="s">
        <v>35</v>
      </c>
      <c r="D16" s="51"/>
      <c r="E16" s="7" t="s">
        <v>36</v>
      </c>
      <c r="F16" s="8" t="s">
        <v>73</v>
      </c>
      <c r="G16" s="52" t="s">
        <v>38</v>
      </c>
      <c r="H16" s="52"/>
      <c r="I16" s="19">
        <v>1.1499999999999999</v>
      </c>
      <c r="J16" s="19">
        <f t="shared" si="0"/>
        <v>1.18</v>
      </c>
      <c r="K16" s="19">
        <f>J16+0.03</f>
        <v>1.21</v>
      </c>
      <c r="L16" s="20">
        <f t="shared" si="1"/>
        <v>1.31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7.75" customHeight="1" x14ac:dyDescent="0.25">
      <c r="A17" s="27"/>
      <c r="B17" s="7">
        <v>4</v>
      </c>
      <c r="C17" s="51" t="s">
        <v>35</v>
      </c>
      <c r="D17" s="51"/>
      <c r="E17" s="7" t="s">
        <v>36</v>
      </c>
      <c r="F17" s="8" t="s">
        <v>87</v>
      </c>
      <c r="G17" s="52" t="s">
        <v>38</v>
      </c>
      <c r="H17" s="52"/>
      <c r="I17" s="19">
        <v>1.35</v>
      </c>
      <c r="J17" s="19">
        <f t="shared" si="0"/>
        <v>1.3800000000000001</v>
      </c>
      <c r="K17" s="19">
        <f>J17+0.03</f>
        <v>1.4100000000000001</v>
      </c>
      <c r="L17" s="20">
        <f t="shared" si="1"/>
        <v>1.5100000000000002</v>
      </c>
      <c r="M17" s="9" t="s">
        <v>37</v>
      </c>
      <c r="N17" s="10" t="s">
        <v>55</v>
      </c>
      <c r="O17" s="10" t="s">
        <v>64</v>
      </c>
      <c r="P17" s="7">
        <v>13</v>
      </c>
      <c r="Q17" s="8"/>
      <c r="R17" s="28"/>
    </row>
    <row r="18" spans="1:18" s="5" customFormat="1" ht="27.75" customHeight="1" x14ac:dyDescent="0.25">
      <c r="A18" s="27"/>
      <c r="B18" s="7">
        <v>5</v>
      </c>
      <c r="C18" s="51" t="s">
        <v>35</v>
      </c>
      <c r="D18" s="51"/>
      <c r="E18" s="7" t="s">
        <v>36</v>
      </c>
      <c r="F18" s="8" t="s">
        <v>70</v>
      </c>
      <c r="G18" s="52" t="s">
        <v>38</v>
      </c>
      <c r="H18" s="52"/>
      <c r="I18" s="19">
        <v>1.1200000000000001</v>
      </c>
      <c r="J18" s="19">
        <f t="shared" si="0"/>
        <v>1.1500000000000001</v>
      </c>
      <c r="K18" s="19">
        <f>J18+0.03</f>
        <v>1.1800000000000002</v>
      </c>
      <c r="L18" s="20">
        <f t="shared" si="1"/>
        <v>1.2800000000000002</v>
      </c>
      <c r="M18" s="9" t="s">
        <v>37</v>
      </c>
      <c r="N18" s="10" t="s">
        <v>55</v>
      </c>
      <c r="O18" s="10" t="s">
        <v>64</v>
      </c>
      <c r="P18" s="11" t="s">
        <v>44</v>
      </c>
      <c r="Q18" s="8"/>
      <c r="R18" s="28"/>
    </row>
    <row r="19" spans="1:18" s="5" customFormat="1" ht="27.75" customHeight="1" x14ac:dyDescent="0.25">
      <c r="A19" s="27"/>
      <c r="B19" s="7">
        <v>6</v>
      </c>
      <c r="C19" s="51" t="s">
        <v>35</v>
      </c>
      <c r="D19" s="51"/>
      <c r="E19" s="7" t="s">
        <v>36</v>
      </c>
      <c r="F19" s="8" t="s">
        <v>68</v>
      </c>
      <c r="G19" s="52" t="s">
        <v>38</v>
      </c>
      <c r="H19" s="52"/>
      <c r="I19" s="19">
        <v>1.1499999999999999</v>
      </c>
      <c r="J19" s="19">
        <f t="shared" si="0"/>
        <v>1.18</v>
      </c>
      <c r="K19" s="19">
        <f t="shared" si="0"/>
        <v>1.21</v>
      </c>
      <c r="L19" s="20">
        <f t="shared" si="1"/>
        <v>1.31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7.75" customHeight="1" x14ac:dyDescent="0.25">
      <c r="A20" s="27"/>
      <c r="B20" s="7">
        <v>7</v>
      </c>
      <c r="C20" s="51" t="s">
        <v>35</v>
      </c>
      <c r="D20" s="51"/>
      <c r="E20" s="7" t="s">
        <v>36</v>
      </c>
      <c r="F20" s="8" t="s">
        <v>69</v>
      </c>
      <c r="G20" s="52" t="s">
        <v>38</v>
      </c>
      <c r="H20" s="52"/>
      <c r="I20" s="19">
        <v>1.37</v>
      </c>
      <c r="J20" s="19">
        <f>I20+0.03</f>
        <v>1.4000000000000001</v>
      </c>
      <c r="K20" s="19">
        <f>J20+0.03</f>
        <v>1.4300000000000002</v>
      </c>
      <c r="L20" s="20">
        <f>K20+0.1</f>
        <v>1.5300000000000002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7.75" customHeight="1" x14ac:dyDescent="0.25">
      <c r="A21" s="27"/>
      <c r="B21" s="7">
        <v>8</v>
      </c>
      <c r="C21" s="51" t="s">
        <v>35</v>
      </c>
      <c r="D21" s="51"/>
      <c r="E21" s="7" t="s">
        <v>36</v>
      </c>
      <c r="F21" s="8" t="s">
        <v>63</v>
      </c>
      <c r="G21" s="52" t="s">
        <v>38</v>
      </c>
      <c r="H21" s="52"/>
      <c r="I21" s="19">
        <v>1.5</v>
      </c>
      <c r="J21" s="19">
        <v>1.5</v>
      </c>
      <c r="K21" s="19">
        <v>1.5</v>
      </c>
      <c r="L21" s="20">
        <f>K21+0.1</f>
        <v>1.6</v>
      </c>
      <c r="M21" s="9" t="s">
        <v>37</v>
      </c>
      <c r="N21" s="10" t="s">
        <v>55</v>
      </c>
      <c r="O21" s="10" t="s">
        <v>64</v>
      </c>
      <c r="P21" s="7">
        <v>13</v>
      </c>
      <c r="Q21" s="8"/>
      <c r="R21" s="28"/>
    </row>
    <row r="22" spans="1:18" s="5" customFormat="1" ht="27.75" customHeight="1" x14ac:dyDescent="0.25">
      <c r="A22" s="27"/>
      <c r="B22" s="7">
        <v>9</v>
      </c>
      <c r="C22" s="51" t="s">
        <v>35</v>
      </c>
      <c r="D22" s="51"/>
      <c r="E22" s="7" t="s">
        <v>36</v>
      </c>
      <c r="F22" s="8" t="s">
        <v>74</v>
      </c>
      <c r="G22" s="52" t="s">
        <v>38</v>
      </c>
      <c r="H22" s="52"/>
      <c r="I22" s="19">
        <v>1.6</v>
      </c>
      <c r="J22" s="19">
        <v>1.6</v>
      </c>
      <c r="K22" s="20">
        <v>1.6</v>
      </c>
      <c r="L22" s="20">
        <f t="shared" si="1"/>
        <v>1.7000000000000002</v>
      </c>
      <c r="M22" s="9" t="s">
        <v>37</v>
      </c>
      <c r="N22" s="10" t="s">
        <v>55</v>
      </c>
      <c r="O22" s="10" t="s">
        <v>64</v>
      </c>
      <c r="P22" s="7">
        <v>13</v>
      </c>
      <c r="Q22" s="7"/>
      <c r="R22" s="28"/>
    </row>
    <row r="23" spans="1:18" s="5" customFormat="1" ht="27.75" customHeight="1" x14ac:dyDescent="0.25">
      <c r="A23" s="27"/>
      <c r="B23" s="7">
        <v>10</v>
      </c>
      <c r="C23" s="51" t="s">
        <v>35</v>
      </c>
      <c r="D23" s="51"/>
      <c r="E23" s="8" t="s">
        <v>65</v>
      </c>
      <c r="F23" s="8" t="s">
        <v>66</v>
      </c>
      <c r="G23" s="52" t="s">
        <v>38</v>
      </c>
      <c r="H23" s="52"/>
      <c r="I23" s="19">
        <v>1.63</v>
      </c>
      <c r="J23" s="19">
        <v>1.63</v>
      </c>
      <c r="K23" s="19">
        <v>1.63</v>
      </c>
      <c r="L23" s="20">
        <f t="shared" si="1"/>
        <v>1.73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7.75" customHeight="1" x14ac:dyDescent="0.25">
      <c r="A24" s="27"/>
      <c r="B24" s="7">
        <v>11</v>
      </c>
      <c r="C24" s="51" t="s">
        <v>35</v>
      </c>
      <c r="D24" s="51"/>
      <c r="E24" s="7" t="s">
        <v>36</v>
      </c>
      <c r="F24" s="8" t="s">
        <v>80</v>
      </c>
      <c r="G24" s="52" t="s">
        <v>38</v>
      </c>
      <c r="H24" s="52"/>
      <c r="I24" s="19">
        <v>1.91</v>
      </c>
      <c r="J24" s="19">
        <v>1.91</v>
      </c>
      <c r="K24" s="19">
        <v>1.91</v>
      </c>
      <c r="L24" s="20">
        <f t="shared" si="1"/>
        <v>2.0099999999999998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7.75" customHeight="1" x14ac:dyDescent="0.25">
      <c r="A25" s="27"/>
      <c r="B25" s="7">
        <v>12</v>
      </c>
      <c r="C25" s="51" t="s">
        <v>35</v>
      </c>
      <c r="D25" s="51"/>
      <c r="E25" s="7" t="s">
        <v>36</v>
      </c>
      <c r="F25" s="8" t="s">
        <v>81</v>
      </c>
      <c r="G25" s="52" t="s">
        <v>38</v>
      </c>
      <c r="H25" s="52"/>
      <c r="I25" s="19">
        <v>1.8</v>
      </c>
      <c r="J25" s="19">
        <v>1.8</v>
      </c>
      <c r="K25" s="19">
        <v>1.8</v>
      </c>
      <c r="L25" s="20">
        <f t="shared" si="1"/>
        <v>1.9000000000000001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7.75" customHeight="1" x14ac:dyDescent="0.25">
      <c r="A26" s="27"/>
      <c r="B26" s="7">
        <v>13</v>
      </c>
      <c r="C26" s="51" t="s">
        <v>35</v>
      </c>
      <c r="D26" s="51"/>
      <c r="E26" s="7" t="s">
        <v>36</v>
      </c>
      <c r="F26" s="8" t="s">
        <v>83</v>
      </c>
      <c r="G26" s="52" t="s">
        <v>38</v>
      </c>
      <c r="H26" s="52"/>
      <c r="I26" s="19">
        <v>1.62</v>
      </c>
      <c r="J26" s="19">
        <v>1.62</v>
      </c>
      <c r="K26" s="19">
        <v>1.62</v>
      </c>
      <c r="L26" s="20">
        <f t="shared" si="1"/>
        <v>1.7200000000000002</v>
      </c>
      <c r="M26" s="9" t="s">
        <v>37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7.75" customHeight="1" x14ac:dyDescent="0.25">
      <c r="A27" s="27"/>
      <c r="B27" s="7">
        <v>14</v>
      </c>
      <c r="C27" s="51" t="s">
        <v>35</v>
      </c>
      <c r="D27" s="51"/>
      <c r="E27" s="7" t="s">
        <v>36</v>
      </c>
      <c r="F27" s="8" t="s">
        <v>124</v>
      </c>
      <c r="G27" s="52" t="s">
        <v>38</v>
      </c>
      <c r="H27" s="52"/>
      <c r="I27" s="19">
        <v>1.84</v>
      </c>
      <c r="J27" s="19">
        <v>1.84</v>
      </c>
      <c r="K27" s="19">
        <v>1.84</v>
      </c>
      <c r="L27" s="20" t="s">
        <v>125</v>
      </c>
      <c r="M27" s="9" t="s">
        <v>125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7.75" customHeight="1" x14ac:dyDescent="0.25">
      <c r="A28" s="27"/>
      <c r="B28" s="7">
        <v>15</v>
      </c>
      <c r="C28" s="51" t="s">
        <v>90</v>
      </c>
      <c r="D28" s="51"/>
      <c r="E28" s="7" t="s">
        <v>132</v>
      </c>
      <c r="F28" s="7" t="s">
        <v>91</v>
      </c>
      <c r="G28" s="52" t="s">
        <v>38</v>
      </c>
      <c r="H28" s="52"/>
      <c r="I28" s="19">
        <v>1.22</v>
      </c>
      <c r="J28" s="19">
        <v>1.22</v>
      </c>
      <c r="K28" s="19">
        <v>1.22</v>
      </c>
      <c r="L28" s="20">
        <f t="shared" ref="L28:L30" si="2">K28+0.1</f>
        <v>1.32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7.75" customHeight="1" x14ac:dyDescent="0.25">
      <c r="A29" s="27"/>
      <c r="B29" s="7">
        <v>16</v>
      </c>
      <c r="C29" s="51" t="s">
        <v>90</v>
      </c>
      <c r="D29" s="51"/>
      <c r="E29" s="7" t="s">
        <v>132</v>
      </c>
      <c r="F29" s="7" t="s">
        <v>115</v>
      </c>
      <c r="G29" s="52" t="s">
        <v>38</v>
      </c>
      <c r="H29" s="52"/>
      <c r="I29" s="19">
        <v>1.3</v>
      </c>
      <c r="J29" s="19">
        <v>1.3</v>
      </c>
      <c r="K29" s="19">
        <v>1.3</v>
      </c>
      <c r="L29" s="20">
        <f t="shared" si="2"/>
        <v>1.4000000000000001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s="5" customFormat="1" ht="27.75" customHeight="1" x14ac:dyDescent="0.25">
      <c r="A30" s="27"/>
      <c r="B30" s="7">
        <v>17</v>
      </c>
      <c r="C30" s="51" t="s">
        <v>90</v>
      </c>
      <c r="D30" s="51"/>
      <c r="E30" s="32" t="s">
        <v>132</v>
      </c>
      <c r="F30" s="7" t="s">
        <v>114</v>
      </c>
      <c r="G30" s="52" t="s">
        <v>38</v>
      </c>
      <c r="H30" s="52"/>
      <c r="I30" s="19">
        <v>1.78</v>
      </c>
      <c r="J30" s="19">
        <v>1.78</v>
      </c>
      <c r="K30" s="19">
        <v>1.78</v>
      </c>
      <c r="L30" s="20">
        <f t="shared" si="2"/>
        <v>1.8800000000000001</v>
      </c>
      <c r="M30" s="9" t="s">
        <v>37</v>
      </c>
      <c r="N30" s="10" t="s">
        <v>55</v>
      </c>
      <c r="O30" s="10" t="s">
        <v>64</v>
      </c>
      <c r="P30" s="11" t="s">
        <v>44</v>
      </c>
      <c r="Q30" s="8"/>
      <c r="R30" s="28"/>
    </row>
    <row r="31" spans="1:18" x14ac:dyDescent="0.25">
      <c r="A31" s="21"/>
      <c r="B31" s="53" t="s">
        <v>39</v>
      </c>
      <c r="C31" s="5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2"/>
    </row>
    <row r="32" spans="1:18" x14ac:dyDescent="0.25">
      <c r="A32" s="21"/>
      <c r="C32" t="s">
        <v>133</v>
      </c>
      <c r="R32" s="22"/>
    </row>
    <row r="33" spans="1:18" x14ac:dyDescent="0.25">
      <c r="A33" s="21"/>
      <c r="C33" t="s">
        <v>89</v>
      </c>
      <c r="R33" s="22"/>
    </row>
    <row r="34" spans="1:18" x14ac:dyDescent="0.25">
      <c r="A34" s="21"/>
      <c r="C34" t="s">
        <v>93</v>
      </c>
      <c r="R34" s="22"/>
    </row>
    <row r="35" spans="1:18" x14ac:dyDescent="0.25">
      <c r="A35" s="21"/>
      <c r="C35" t="s">
        <v>113</v>
      </c>
      <c r="R35" s="22"/>
    </row>
    <row r="36" spans="1:18" x14ac:dyDescent="0.25">
      <c r="A36" s="21"/>
      <c r="C36" t="s">
        <v>95</v>
      </c>
      <c r="R36" s="22"/>
    </row>
    <row r="37" spans="1:18" x14ac:dyDescent="0.25">
      <c r="A37" s="21"/>
      <c r="C37" t="s">
        <v>96</v>
      </c>
      <c r="R37" s="22"/>
    </row>
    <row r="38" spans="1:18" x14ac:dyDescent="0.25">
      <c r="A38" s="21"/>
      <c r="C38" t="s">
        <v>107</v>
      </c>
      <c r="R38" s="22"/>
    </row>
    <row r="39" spans="1:18" x14ac:dyDescent="0.25">
      <c r="A39" s="21"/>
      <c r="C39" t="s">
        <v>108</v>
      </c>
      <c r="R39" s="22"/>
    </row>
    <row r="40" spans="1:18" x14ac:dyDescent="0.25">
      <c r="A40" s="21"/>
      <c r="C40" t="s">
        <v>98</v>
      </c>
      <c r="R40" s="22"/>
    </row>
    <row r="41" spans="1:18" x14ac:dyDescent="0.25">
      <c r="A41" s="34"/>
      <c r="B41" s="13"/>
      <c r="C41" s="13" t="s">
        <v>99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</sheetData>
  <mergeCells count="50">
    <mergeCell ref="C27:D27"/>
    <mergeCell ref="G27:H27"/>
    <mergeCell ref="I12:M12"/>
    <mergeCell ref="C20:D20"/>
    <mergeCell ref="G20:H20"/>
    <mergeCell ref="C25:D25"/>
    <mergeCell ref="G25:H25"/>
    <mergeCell ref="C18:D18"/>
    <mergeCell ref="C22:D22"/>
    <mergeCell ref="G22:H22"/>
    <mergeCell ref="C23:D23"/>
    <mergeCell ref="C16:D16"/>
    <mergeCell ref="G16:H16"/>
    <mergeCell ref="C17:D17"/>
    <mergeCell ref="G17:H17"/>
    <mergeCell ref="C26:D26"/>
    <mergeCell ref="G26:H26"/>
    <mergeCell ref="M10:N10"/>
    <mergeCell ref="B31:C31"/>
    <mergeCell ref="P12:P13"/>
    <mergeCell ref="Q12:Q13"/>
    <mergeCell ref="C14:D14"/>
    <mergeCell ref="G14:H14"/>
    <mergeCell ref="B12:B13"/>
    <mergeCell ref="C12:D13"/>
    <mergeCell ref="E12:E13"/>
    <mergeCell ref="F12:F13"/>
    <mergeCell ref="G12:H13"/>
    <mergeCell ref="N12:O12"/>
    <mergeCell ref="C21:D21"/>
    <mergeCell ref="G21:H21"/>
    <mergeCell ref="C15:D15"/>
    <mergeCell ref="G15:H15"/>
    <mergeCell ref="A1:R1"/>
    <mergeCell ref="A2:R2"/>
    <mergeCell ref="A3:R3"/>
    <mergeCell ref="A4:R4"/>
    <mergeCell ref="M9:N9"/>
    <mergeCell ref="G23:H23"/>
    <mergeCell ref="C24:D24"/>
    <mergeCell ref="G24:H24"/>
    <mergeCell ref="G18:H18"/>
    <mergeCell ref="C19:D19"/>
    <mergeCell ref="G19:H19"/>
    <mergeCell ref="C28:D28"/>
    <mergeCell ref="G28:H28"/>
    <mergeCell ref="C29:D29"/>
    <mergeCell ref="G29:H29"/>
    <mergeCell ref="C30:D30"/>
    <mergeCell ref="G30:H30"/>
  </mergeCells>
  <pageMargins left="0.28000000000000003" right="0.17" top="0.35" bottom="0" header="0.3" footer="0"/>
  <pageSetup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DE1A-48B1-4EE1-BAD4-613337367A91}">
  <sheetPr>
    <pageSetUpPr fitToPage="1"/>
  </sheetPr>
  <dimension ref="A1:R48"/>
  <sheetViews>
    <sheetView zoomScale="90" zoomScaleNormal="90" workbookViewId="0">
      <selection activeCell="U9" sqref="U9"/>
    </sheetView>
  </sheetViews>
  <sheetFormatPr defaultRowHeight="15" x14ac:dyDescent="0.25"/>
  <cols>
    <col min="1" max="1" width="9.140625" style="2"/>
    <col min="2" max="2" width="4.140625" style="2" bestFit="1" customWidth="1"/>
    <col min="3" max="3" width="27.85546875" style="2" customWidth="1"/>
    <col min="4" max="4" width="1.7109375" style="2" customWidth="1"/>
    <col min="5" max="5" width="24.140625" style="2" bestFit="1" customWidth="1"/>
    <col min="6" max="6" width="39.42578125" style="2" customWidth="1"/>
    <col min="7" max="7" width="1.42578125" style="2" bestFit="1" customWidth="1"/>
    <col min="8" max="8" width="11.7109375" style="2" customWidth="1"/>
    <col min="9" max="9" width="12.85546875" style="2" bestFit="1" customWidth="1"/>
    <col min="10" max="10" width="14.140625" style="2" customWidth="1"/>
    <col min="11" max="11" width="13" style="2" customWidth="1"/>
    <col min="12" max="12" width="13.85546875" style="2" customWidth="1"/>
    <col min="13" max="13" width="12.5703125" style="2" customWidth="1"/>
    <col min="14" max="14" width="11" style="2" customWidth="1"/>
    <col min="15" max="15" width="10" style="2" customWidth="1"/>
    <col min="16" max="16" width="10.140625" style="2" customWidth="1"/>
    <col min="17" max="17" width="10.85546875" style="2" customWidth="1"/>
    <col min="18" max="16384" width="9.140625" style="2"/>
  </cols>
  <sheetData>
    <row r="1" spans="1:18" s="1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customFormat="1" x14ac:dyDescent="0.25">
      <c r="A2" s="67" t="s">
        <v>45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customFormat="1" x14ac:dyDescent="0.25">
      <c r="A3" s="67" t="s">
        <v>46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customFormat="1" ht="14.2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142</v>
      </c>
      <c r="H6" s="6" t="s">
        <v>6</v>
      </c>
      <c r="J6" s="6" t="s">
        <v>54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59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18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52</v>
      </c>
      <c r="H9" s="6" t="s">
        <v>17</v>
      </c>
      <c r="J9" s="6" t="s">
        <v>18</v>
      </c>
      <c r="K9" s="36"/>
      <c r="M9" s="56" t="s">
        <v>19</v>
      </c>
      <c r="N9" s="56"/>
      <c r="O9" s="6" t="s">
        <v>20</v>
      </c>
      <c r="R9" s="24"/>
    </row>
    <row r="10" spans="1:18" s="3" customFormat="1" ht="15.75" x14ac:dyDescent="0.25">
      <c r="A10" s="46"/>
      <c r="R10" s="47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8.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8.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8.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8.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8.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8.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8.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8.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8.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8.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8.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8.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8.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8.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8.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8.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8.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customFormat="1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customFormat="1" x14ac:dyDescent="0.25">
      <c r="A31" s="21"/>
      <c r="C31" t="s">
        <v>133</v>
      </c>
      <c r="R31" s="22"/>
    </row>
    <row r="32" spans="1:18" customFormat="1" x14ac:dyDescent="0.25">
      <c r="A32" s="21"/>
      <c r="C32" t="s">
        <v>89</v>
      </c>
      <c r="R32" s="22"/>
    </row>
    <row r="33" spans="1:18" customFormat="1" x14ac:dyDescent="0.25">
      <c r="A33" s="21"/>
      <c r="C33" t="s">
        <v>93</v>
      </c>
      <c r="R33" s="22"/>
    </row>
    <row r="34" spans="1:18" customFormat="1" x14ac:dyDescent="0.25">
      <c r="A34" s="21"/>
      <c r="C34" s="50" t="s">
        <v>165</v>
      </c>
      <c r="D34" s="50"/>
      <c r="E34" s="50"/>
      <c r="R34" s="22"/>
    </row>
    <row r="35" spans="1:18" customFormat="1" x14ac:dyDescent="0.25">
      <c r="A35" s="21"/>
      <c r="C35" t="s">
        <v>95</v>
      </c>
      <c r="R35" s="22"/>
    </row>
    <row r="36" spans="1:18" customFormat="1" x14ac:dyDescent="0.25">
      <c r="A36" s="21"/>
      <c r="C36" t="s">
        <v>96</v>
      </c>
      <c r="R36" s="22"/>
    </row>
    <row r="37" spans="1:18" customFormat="1" x14ac:dyDescent="0.25">
      <c r="A37" s="21"/>
      <c r="C37" t="s">
        <v>107</v>
      </c>
      <c r="R37" s="22"/>
    </row>
    <row r="38" spans="1:18" customFormat="1" x14ac:dyDescent="0.25">
      <c r="A38" s="21"/>
      <c r="C38" t="s">
        <v>108</v>
      </c>
      <c r="R38" s="22"/>
    </row>
    <row r="39" spans="1:18" customFormat="1" x14ac:dyDescent="0.25">
      <c r="A39" s="21"/>
      <c r="C39" t="s">
        <v>98</v>
      </c>
      <c r="R39" s="22"/>
    </row>
    <row r="40" spans="1:18" customFormat="1" x14ac:dyDescent="0.25">
      <c r="A40" s="21"/>
      <c r="C40" s="45" t="s">
        <v>106</v>
      </c>
      <c r="R40" s="22"/>
    </row>
    <row r="41" spans="1:18" customFormat="1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customFormat="1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40"/>
      <c r="R43" s="41"/>
    </row>
    <row r="44" spans="1:18" x14ac:dyDescent="0.25">
      <c r="A44" s="40"/>
      <c r="R44" s="41"/>
    </row>
    <row r="45" spans="1:18" x14ac:dyDescent="0.25">
      <c r="A45" s="40"/>
      <c r="R45" s="41"/>
    </row>
    <row r="46" spans="1:18" x14ac:dyDescent="0.25">
      <c r="A46" s="40"/>
      <c r="R46" s="41"/>
    </row>
    <row r="47" spans="1:18" x14ac:dyDescent="0.25">
      <c r="A47" s="40"/>
      <c r="R47" s="41"/>
    </row>
    <row r="48" spans="1:18" ht="15.75" thickBot="1" x14ac:dyDescent="0.3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4"/>
    </row>
  </sheetData>
  <mergeCells count="50">
    <mergeCell ref="C15:D15"/>
    <mergeCell ref="G15:H15"/>
    <mergeCell ref="C27:D27"/>
    <mergeCell ref="G27:H27"/>
    <mergeCell ref="M8:N8"/>
    <mergeCell ref="M9:N9"/>
    <mergeCell ref="C14:D14"/>
    <mergeCell ref="G14:H14"/>
    <mergeCell ref="N11:O11"/>
    <mergeCell ref="B11:B12"/>
    <mergeCell ref="C11:D12"/>
    <mergeCell ref="E11:E12"/>
    <mergeCell ref="F11:F12"/>
    <mergeCell ref="G11:H12"/>
    <mergeCell ref="P11:P12"/>
    <mergeCell ref="Q11:Q12"/>
    <mergeCell ref="C13:D13"/>
    <mergeCell ref="G13:H13"/>
    <mergeCell ref="I11:M11"/>
    <mergeCell ref="B30:C30"/>
    <mergeCell ref="C25:D25"/>
    <mergeCell ref="G25:H25"/>
    <mergeCell ref="C26:D26"/>
    <mergeCell ref="C21:D21"/>
    <mergeCell ref="G21:H21"/>
    <mergeCell ref="C29:D29"/>
    <mergeCell ref="G29:H29"/>
    <mergeCell ref="C22:D22"/>
    <mergeCell ref="G22:H22"/>
    <mergeCell ref="C23:D23"/>
    <mergeCell ref="G23:H23"/>
    <mergeCell ref="G26:H26"/>
    <mergeCell ref="C24:D24"/>
    <mergeCell ref="G24:H24"/>
    <mergeCell ref="A1:R1"/>
    <mergeCell ref="A2:R2"/>
    <mergeCell ref="A3:R3"/>
    <mergeCell ref="A4:R4"/>
    <mergeCell ref="C28:D28"/>
    <mergeCell ref="G28:H28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</mergeCells>
  <pageMargins left="0.32" right="0" top="0.25" bottom="0.25" header="0" footer="0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DA0-F166-4FB0-9E43-4D249CC121D2}">
  <sheetPr>
    <pageSetUpPr fitToPage="1"/>
  </sheetPr>
  <dimension ref="A1:R49"/>
  <sheetViews>
    <sheetView topLeftCell="A22" zoomScale="85" zoomScaleNormal="85" workbookViewId="0">
      <selection activeCell="F50" sqref="F50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5.8554687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0" customWidth="1"/>
    <col min="16" max="16" width="10.140625" customWidth="1"/>
    <col min="17" max="17" width="12.57031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143</v>
      </c>
      <c r="H6" s="6" t="s">
        <v>6</v>
      </c>
      <c r="J6" s="6" t="s">
        <v>7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67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14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71</v>
      </c>
      <c r="H9" s="6" t="s">
        <v>17</v>
      </c>
      <c r="J9" s="6" t="s">
        <v>18</v>
      </c>
      <c r="K9" s="36"/>
      <c r="M9" s="56" t="s">
        <v>19</v>
      </c>
      <c r="N9" s="56"/>
      <c r="O9" s="6" t="s">
        <v>20</v>
      </c>
      <c r="R9" s="24"/>
    </row>
    <row r="10" spans="1:18" s="6" customFormat="1" ht="15.75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7.7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7.7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7.7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7.7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7.7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7.7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7.7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7.7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7.7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7.7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7.7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7.7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7.7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7.7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7.7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7.7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7.7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94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ht="15.75" thickBot="1" x14ac:dyDescent="0.3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</row>
  </sheetData>
  <mergeCells count="50">
    <mergeCell ref="M8:N8"/>
    <mergeCell ref="M9:N9"/>
    <mergeCell ref="C17:D17"/>
    <mergeCell ref="G17:H17"/>
    <mergeCell ref="B11:B12"/>
    <mergeCell ref="C11:D12"/>
    <mergeCell ref="E11:E12"/>
    <mergeCell ref="F11:F12"/>
    <mergeCell ref="G11:H12"/>
    <mergeCell ref="C14:D14"/>
    <mergeCell ref="G14:H14"/>
    <mergeCell ref="N11:O11"/>
    <mergeCell ref="C24:D24"/>
    <mergeCell ref="P11:P12"/>
    <mergeCell ref="Q11:Q12"/>
    <mergeCell ref="C13:D13"/>
    <mergeCell ref="G13:H13"/>
    <mergeCell ref="I11:M11"/>
    <mergeCell ref="A1:R1"/>
    <mergeCell ref="A2:R2"/>
    <mergeCell ref="A4:R4"/>
    <mergeCell ref="A3:R3"/>
    <mergeCell ref="B30:C30"/>
    <mergeCell ref="C25:D25"/>
    <mergeCell ref="G25:H25"/>
    <mergeCell ref="C26:D26"/>
    <mergeCell ref="C21:D21"/>
    <mergeCell ref="G21:H21"/>
    <mergeCell ref="C27:D27"/>
    <mergeCell ref="G27:H27"/>
    <mergeCell ref="C29:D29"/>
    <mergeCell ref="G29:H29"/>
    <mergeCell ref="C22:D22"/>
    <mergeCell ref="G22:H22"/>
    <mergeCell ref="C28:D28"/>
    <mergeCell ref="G28:H28"/>
    <mergeCell ref="C15:D15"/>
    <mergeCell ref="G15:H15"/>
    <mergeCell ref="C16:D16"/>
    <mergeCell ref="G16:H16"/>
    <mergeCell ref="C18:D18"/>
    <mergeCell ref="G18:H18"/>
    <mergeCell ref="C19:D19"/>
    <mergeCell ref="G19:H19"/>
    <mergeCell ref="C20:D20"/>
    <mergeCell ref="G20:H20"/>
    <mergeCell ref="G24:H24"/>
    <mergeCell ref="C23:D23"/>
    <mergeCell ref="G23:H23"/>
    <mergeCell ref="G26:H26"/>
  </mergeCells>
  <pageMargins left="0.28000000000000003" right="0" top="0.49" bottom="0" header="0.28000000000000003" footer="0"/>
  <pageSetup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5CB9-8F6C-4747-8454-6FE34B96C537}">
  <sheetPr>
    <pageSetUpPr fitToPage="1"/>
  </sheetPr>
  <dimension ref="A1:R49"/>
  <sheetViews>
    <sheetView topLeftCell="A22" zoomScale="85" zoomScaleNormal="85" workbookViewId="0">
      <selection activeCell="F51" sqref="F51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6.85546875" customWidth="1"/>
    <col min="6" max="6" width="42.425781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4.42578125" customWidth="1"/>
    <col min="16" max="16" width="10.140625" customWidth="1"/>
    <col min="17" max="17" width="13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144</v>
      </c>
      <c r="H6" s="6" t="s">
        <v>6</v>
      </c>
      <c r="J6" s="6" t="s">
        <v>79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78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77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6" customFormat="1" ht="15.75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30.7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30.7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30.7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30.7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30.7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30.7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30.7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30.7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30.7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30.7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30.7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30.7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30.7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30.7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30.7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30.7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30.7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ht="15.75" thickBot="1" x14ac:dyDescent="0.3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</row>
  </sheetData>
  <mergeCells count="50">
    <mergeCell ref="Q11:Q12"/>
    <mergeCell ref="C13:D13"/>
    <mergeCell ref="G13:H13"/>
    <mergeCell ref="C14:D14"/>
    <mergeCell ref="G14:H14"/>
    <mergeCell ref="C11:D12"/>
    <mergeCell ref="E11:E12"/>
    <mergeCell ref="F11:F12"/>
    <mergeCell ref="G11:H12"/>
    <mergeCell ref="I11:M11"/>
    <mergeCell ref="B30:C30"/>
    <mergeCell ref="N11:O11"/>
    <mergeCell ref="P11:P12"/>
    <mergeCell ref="B11:B12"/>
    <mergeCell ref="C27:D27"/>
    <mergeCell ref="G27:H27"/>
    <mergeCell ref="C28:D28"/>
    <mergeCell ref="G28:H28"/>
    <mergeCell ref="C29:D29"/>
    <mergeCell ref="G29:H29"/>
    <mergeCell ref="G20:H20"/>
    <mergeCell ref="C26:D26"/>
    <mergeCell ref="G26:H26"/>
    <mergeCell ref="C24:D24"/>
    <mergeCell ref="C19:D19"/>
    <mergeCell ref="G19:H19"/>
    <mergeCell ref="C20:D20"/>
    <mergeCell ref="C23:D23"/>
    <mergeCell ref="G23:H23"/>
    <mergeCell ref="C16:D16"/>
    <mergeCell ref="G16:H16"/>
    <mergeCell ref="C17:D17"/>
    <mergeCell ref="C18:D18"/>
    <mergeCell ref="G18:H18"/>
    <mergeCell ref="G24:H24"/>
    <mergeCell ref="C25:D25"/>
    <mergeCell ref="G25:H25"/>
    <mergeCell ref="A1:R1"/>
    <mergeCell ref="A2:R2"/>
    <mergeCell ref="A3:R3"/>
    <mergeCell ref="A4:R4"/>
    <mergeCell ref="M8:N8"/>
    <mergeCell ref="M9:N9"/>
    <mergeCell ref="G17:H17"/>
    <mergeCell ref="C21:D21"/>
    <mergeCell ref="G21:H21"/>
    <mergeCell ref="C22:D22"/>
    <mergeCell ref="G22:H22"/>
    <mergeCell ref="C15:D15"/>
    <mergeCell ref="G15:H15"/>
  </mergeCells>
  <pageMargins left="0.27" right="0.21" top="0.45" bottom="0.25" header="0.21" footer="0.17"/>
  <pageSetup scale="5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67E5-C1E6-4AE2-8956-9F89BEC698CA}">
  <sheetPr>
    <pageSetUpPr fitToPage="1"/>
  </sheetPr>
  <dimension ref="A1:R49"/>
  <sheetViews>
    <sheetView topLeftCell="B1" zoomScale="85" zoomScaleNormal="85" workbookViewId="0">
      <selection activeCell="O9" sqref="O9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6.85546875" customWidth="1"/>
    <col min="6" max="6" width="42.425781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4.42578125" customWidth="1"/>
    <col min="16" max="16" width="10.140625" customWidth="1"/>
    <col min="17" max="17" width="13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151</v>
      </c>
      <c r="H6" s="6" t="s">
        <v>6</v>
      </c>
      <c r="J6" s="6" t="s">
        <v>79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152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153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6" customFormat="1" ht="15.75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30.7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30.7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30.7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30.7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30.7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30.7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30.7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30.7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30.7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30.7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30.7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30.7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30.7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30.7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30.7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30.7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30.7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ht="15.75" thickBot="1" x14ac:dyDescent="0.3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</row>
  </sheetData>
  <mergeCells count="50">
    <mergeCell ref="B30:C30"/>
    <mergeCell ref="C27:D27"/>
    <mergeCell ref="G27:H27"/>
    <mergeCell ref="C28:D28"/>
    <mergeCell ref="G28:H28"/>
    <mergeCell ref="C29:D29"/>
    <mergeCell ref="G29:H29"/>
    <mergeCell ref="C24:D24"/>
    <mergeCell ref="G24:H24"/>
    <mergeCell ref="C25:D25"/>
    <mergeCell ref="G25:H25"/>
    <mergeCell ref="C26:D26"/>
    <mergeCell ref="G26:H26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N11:O11"/>
    <mergeCell ref="P11:P12"/>
    <mergeCell ref="Q11:Q12"/>
    <mergeCell ref="C13:D13"/>
    <mergeCell ref="G13:H13"/>
    <mergeCell ref="I11:M11"/>
    <mergeCell ref="C14:D14"/>
    <mergeCell ref="G14:H14"/>
    <mergeCell ref="B11:B12"/>
    <mergeCell ref="C11:D12"/>
    <mergeCell ref="E11:E12"/>
    <mergeCell ref="F11:F12"/>
    <mergeCell ref="G11:H12"/>
    <mergeCell ref="M9:N9"/>
    <mergeCell ref="A1:R1"/>
    <mergeCell ref="A2:R2"/>
    <mergeCell ref="A3:R3"/>
    <mergeCell ref="A4:R4"/>
    <mergeCell ref="M8:N8"/>
  </mergeCells>
  <pageMargins left="0.27" right="0.21" top="0.45" bottom="0.25" header="0.21" footer="0.17"/>
  <pageSetup scale="5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38A6-4764-4C13-85B9-5FFD7FA6DD72}">
  <sheetPr>
    <pageSetUpPr fitToPage="1"/>
  </sheetPr>
  <dimension ref="A1:R48"/>
  <sheetViews>
    <sheetView zoomScale="85" zoomScaleNormal="85" workbookViewId="0">
      <selection activeCell="F66" sqref="F66"/>
    </sheetView>
  </sheetViews>
  <sheetFormatPr defaultRowHeight="15" x14ac:dyDescent="0.25"/>
  <cols>
    <col min="1" max="1" width="6.42578125" customWidth="1"/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45.425781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6.7109375" customWidth="1"/>
    <col min="14" max="14" width="13.85546875" customWidth="1"/>
    <col min="15" max="15" width="14.42578125" customWidth="1"/>
    <col min="16" max="16" width="10.140625" customWidth="1"/>
    <col min="17" max="17" width="13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6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145</v>
      </c>
      <c r="H6" s="6" t="s">
        <v>6</v>
      </c>
      <c r="J6" s="6" t="s">
        <v>85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78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84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6" customFormat="1" ht="7.5" customHeight="1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9.2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9.2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9.2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9.2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9.2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9.2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9.2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9.2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9.2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9.2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9.2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9.2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9.2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9.2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9.2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7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9.2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7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9.25" customHeight="1" x14ac:dyDescent="0.25">
      <c r="A29" s="27"/>
      <c r="B29" s="7">
        <v>17</v>
      </c>
      <c r="C29" s="51" t="s">
        <v>90</v>
      </c>
      <c r="D29" s="51"/>
      <c r="E29" s="32" t="s">
        <v>132</v>
      </c>
      <c r="F29" s="7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N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</sheetData>
  <mergeCells count="50">
    <mergeCell ref="C22:D22"/>
    <mergeCell ref="G22:H22"/>
    <mergeCell ref="C23:D23"/>
    <mergeCell ref="G23:H23"/>
    <mergeCell ref="C16:D16"/>
    <mergeCell ref="G16:H16"/>
    <mergeCell ref="C17:D17"/>
    <mergeCell ref="G17:H17"/>
    <mergeCell ref="C21:D21"/>
    <mergeCell ref="G21:H21"/>
    <mergeCell ref="B30:C30"/>
    <mergeCell ref="N11:O11"/>
    <mergeCell ref="P11:P12"/>
    <mergeCell ref="Q11:Q12"/>
    <mergeCell ref="C13:D13"/>
    <mergeCell ref="G13:H13"/>
    <mergeCell ref="C14:D14"/>
    <mergeCell ref="G14:H14"/>
    <mergeCell ref="B11:B12"/>
    <mergeCell ref="C11:D12"/>
    <mergeCell ref="E11:E12"/>
    <mergeCell ref="F11:F12"/>
    <mergeCell ref="G11:H12"/>
    <mergeCell ref="I11:M11"/>
    <mergeCell ref="C25:D25"/>
    <mergeCell ref="G25:H25"/>
    <mergeCell ref="C28:D28"/>
    <mergeCell ref="G28:H28"/>
    <mergeCell ref="C29:D29"/>
    <mergeCell ref="G29:H29"/>
    <mergeCell ref="C24:D24"/>
    <mergeCell ref="G24:H24"/>
    <mergeCell ref="C26:D26"/>
    <mergeCell ref="G26:H26"/>
    <mergeCell ref="A1:R1"/>
    <mergeCell ref="A2:R2"/>
    <mergeCell ref="A3:R3"/>
    <mergeCell ref="A4:R4"/>
    <mergeCell ref="C27:D27"/>
    <mergeCell ref="G27:H27"/>
    <mergeCell ref="M8:N8"/>
    <mergeCell ref="M9:N9"/>
    <mergeCell ref="C18:D18"/>
    <mergeCell ref="G18:H18"/>
    <mergeCell ref="C19:D19"/>
    <mergeCell ref="G19:H19"/>
    <mergeCell ref="C20:D20"/>
    <mergeCell ref="G20:H20"/>
    <mergeCell ref="C15:D15"/>
    <mergeCell ref="G15:H15"/>
  </mergeCells>
  <pageMargins left="0.28999999999999998" right="0.17" top="0.46" bottom="0.24" header="0.36" footer="0.17"/>
  <pageSetup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A1D4-9329-42F1-83CB-8867307228AE}">
  <sheetPr>
    <pageSetUpPr fitToPage="1"/>
  </sheetPr>
  <dimension ref="A1:R51"/>
  <sheetViews>
    <sheetView topLeftCell="A25" zoomScale="85" zoomScaleNormal="85" workbookViewId="0">
      <selection activeCell="C31" sqref="C31:N42"/>
    </sheetView>
  </sheetViews>
  <sheetFormatPr defaultRowHeight="15" x14ac:dyDescent="0.25"/>
  <cols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8.425781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2.5703125" customWidth="1"/>
    <col min="14" max="14" width="11" customWidth="1"/>
    <col min="15" max="15" width="14.42578125" customWidth="1"/>
    <col min="16" max="16" width="10.140625" customWidth="1"/>
    <col min="17" max="17" width="13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5.75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146</v>
      </c>
      <c r="H6" s="6" t="s">
        <v>6</v>
      </c>
      <c r="J6" s="6" t="s">
        <v>111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112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135</v>
      </c>
      <c r="H9" s="6" t="s">
        <v>17</v>
      </c>
      <c r="J9" s="6" t="s">
        <v>50</v>
      </c>
      <c r="K9" s="36"/>
      <c r="M9" s="56" t="s">
        <v>19</v>
      </c>
      <c r="N9" s="56"/>
      <c r="O9" s="6" t="s">
        <v>20</v>
      </c>
      <c r="R9" s="24"/>
    </row>
    <row r="10" spans="1:18" s="6" customFormat="1" ht="15.75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29.25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s="5" customFormat="1" ht="29.25" customHeight="1" x14ac:dyDescent="0.25">
      <c r="A14" s="27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8"/>
    </row>
    <row r="15" spans="1:18" s="5" customFormat="1" ht="29.25" customHeight="1" x14ac:dyDescent="0.25">
      <c r="A15" s="27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8"/>
    </row>
    <row r="16" spans="1:18" s="5" customFormat="1" ht="29.25" customHeight="1" x14ac:dyDescent="0.25">
      <c r="A16" s="27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8"/>
    </row>
    <row r="17" spans="1:18" s="5" customFormat="1" ht="29.25" customHeight="1" x14ac:dyDescent="0.25">
      <c r="A17" s="27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8"/>
    </row>
    <row r="18" spans="1:18" s="5" customFormat="1" ht="29.25" customHeight="1" x14ac:dyDescent="0.25">
      <c r="A18" s="27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8"/>
    </row>
    <row r="19" spans="1:18" s="5" customFormat="1" ht="29.25" customHeight="1" x14ac:dyDescent="0.25">
      <c r="A19" s="27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8"/>
    </row>
    <row r="20" spans="1:18" s="5" customFormat="1" ht="29.25" customHeight="1" x14ac:dyDescent="0.25">
      <c r="A20" s="27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8"/>
    </row>
    <row r="21" spans="1:18" s="5" customFormat="1" ht="29.25" customHeight="1" x14ac:dyDescent="0.25">
      <c r="A21" s="27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8"/>
    </row>
    <row r="22" spans="1:18" s="5" customFormat="1" ht="29.25" customHeight="1" x14ac:dyDescent="0.25">
      <c r="A22" s="27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8"/>
    </row>
    <row r="23" spans="1:18" s="5" customFormat="1" ht="29.25" customHeight="1" x14ac:dyDescent="0.25">
      <c r="A23" s="27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8"/>
    </row>
    <row r="24" spans="1:18" s="5" customFormat="1" ht="29.25" customHeight="1" x14ac:dyDescent="0.25">
      <c r="A24" s="27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8"/>
    </row>
    <row r="25" spans="1:18" s="5" customFormat="1" ht="29.25" customHeight="1" x14ac:dyDescent="0.25">
      <c r="A25" s="27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8"/>
    </row>
    <row r="26" spans="1:18" s="5" customFormat="1" ht="29.25" customHeight="1" x14ac:dyDescent="0.25">
      <c r="A26" s="27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8"/>
    </row>
    <row r="27" spans="1:18" s="5" customFormat="1" ht="29.25" customHeight="1" x14ac:dyDescent="0.25">
      <c r="A27" s="27"/>
      <c r="B27" s="7">
        <v>15</v>
      </c>
      <c r="C27" s="51" t="s">
        <v>90</v>
      </c>
      <c r="D27" s="51"/>
      <c r="E27" s="7" t="s">
        <v>132</v>
      </c>
      <c r="F27" s="8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8"/>
    </row>
    <row r="28" spans="1:18" s="5" customFormat="1" ht="29.25" customHeight="1" x14ac:dyDescent="0.25">
      <c r="A28" s="27"/>
      <c r="B28" s="7">
        <v>16</v>
      </c>
      <c r="C28" s="51" t="s">
        <v>90</v>
      </c>
      <c r="D28" s="51"/>
      <c r="E28" s="7" t="s">
        <v>132</v>
      </c>
      <c r="F28" s="8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8"/>
    </row>
    <row r="29" spans="1:18" s="5" customFormat="1" ht="29.25" customHeight="1" x14ac:dyDescent="0.25">
      <c r="A29" s="27"/>
      <c r="B29" s="7">
        <v>17</v>
      </c>
      <c r="C29" s="51" t="s">
        <v>90</v>
      </c>
      <c r="D29" s="51"/>
      <c r="E29" s="7" t="s">
        <v>132</v>
      </c>
      <c r="F29" s="8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8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94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  <row r="49" customFormat="1" x14ac:dyDescent="0.25"/>
    <row r="50" customFormat="1" x14ac:dyDescent="0.25"/>
    <row r="51" customFormat="1" x14ac:dyDescent="0.25"/>
  </sheetData>
  <mergeCells count="50"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9:D29"/>
    <mergeCell ref="G29:H29"/>
    <mergeCell ref="B30:C30"/>
    <mergeCell ref="M8:N8"/>
    <mergeCell ref="M9:N9"/>
    <mergeCell ref="C15:D15"/>
    <mergeCell ref="G15:H15"/>
    <mergeCell ref="C16:D16"/>
    <mergeCell ref="G16:H16"/>
    <mergeCell ref="C17:D17"/>
    <mergeCell ref="G17:H17"/>
    <mergeCell ref="N11:O11"/>
    <mergeCell ref="C13:D13"/>
    <mergeCell ref="G13:H13"/>
    <mergeCell ref="C14:D14"/>
    <mergeCell ref="G14:H14"/>
    <mergeCell ref="A1:R1"/>
    <mergeCell ref="A2:R2"/>
    <mergeCell ref="A3:R3"/>
    <mergeCell ref="A4:R4"/>
    <mergeCell ref="C28:D28"/>
    <mergeCell ref="G28:H28"/>
    <mergeCell ref="P11:P12"/>
    <mergeCell ref="Q11:Q12"/>
    <mergeCell ref="B11:B12"/>
    <mergeCell ref="C11:D12"/>
    <mergeCell ref="E11:E12"/>
    <mergeCell ref="F11:F12"/>
    <mergeCell ref="G11:H12"/>
    <mergeCell ref="I11:M11"/>
    <mergeCell ref="C27:D27"/>
    <mergeCell ref="G27:H27"/>
  </mergeCells>
  <pageMargins left="0.35" right="0.25" top="0.35" bottom="0.23" header="0.26" footer="0.17"/>
  <pageSetup scale="5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94E4-B4B6-4A1D-A303-EC5D0A645C9D}">
  <sheetPr>
    <pageSetUpPr fitToPage="1"/>
  </sheetPr>
  <dimension ref="A1:R47"/>
  <sheetViews>
    <sheetView topLeftCell="A31" zoomScale="85" zoomScaleNormal="85" workbookViewId="0">
      <selection activeCell="E7" sqref="E7"/>
    </sheetView>
  </sheetViews>
  <sheetFormatPr defaultRowHeight="15" x14ac:dyDescent="0.25"/>
  <cols>
    <col min="1" max="1" width="8" customWidth="1"/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7.1406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5.42578125" customWidth="1"/>
    <col min="14" max="14" width="11" customWidth="1"/>
    <col min="15" max="15" width="14.42578125" customWidth="1"/>
    <col min="16" max="16" width="10.140625" customWidth="1"/>
    <col min="17" max="17" width="12.140625" customWidth="1"/>
    <col min="18" max="18" width="7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1.2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147</v>
      </c>
      <c r="H6" s="6" t="s">
        <v>6</v>
      </c>
      <c r="J6" s="6" t="s">
        <v>154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116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118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117</v>
      </c>
      <c r="H9" s="6" t="s">
        <v>17</v>
      </c>
      <c r="J9" s="6" t="s">
        <v>18</v>
      </c>
      <c r="K9" s="36"/>
      <c r="M9" s="56" t="s">
        <v>19</v>
      </c>
      <c r="N9" s="56"/>
      <c r="O9" s="6" t="s">
        <v>20</v>
      </c>
      <c r="R9" s="24"/>
    </row>
    <row r="10" spans="1:18" s="6" customFormat="1" ht="9.75" customHeight="1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30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ht="30" customHeight="1" x14ac:dyDescent="0.25">
      <c r="A14" s="21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2"/>
    </row>
    <row r="15" spans="1:18" ht="30" customHeight="1" x14ac:dyDescent="0.25">
      <c r="A15" s="21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2"/>
    </row>
    <row r="16" spans="1:18" ht="30" customHeight="1" x14ac:dyDescent="0.25">
      <c r="A16" s="21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2"/>
    </row>
    <row r="17" spans="1:18" ht="30" customHeight="1" x14ac:dyDescent="0.25">
      <c r="A17" s="21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2"/>
    </row>
    <row r="18" spans="1:18" ht="30" customHeight="1" x14ac:dyDescent="0.25">
      <c r="A18" s="21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30" customHeight="1" x14ac:dyDescent="0.25">
      <c r="A19" s="21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2"/>
    </row>
    <row r="20" spans="1:18" ht="30" customHeight="1" x14ac:dyDescent="0.25">
      <c r="A20" s="21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30" customHeight="1" x14ac:dyDescent="0.25">
      <c r="A21" s="21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2"/>
    </row>
    <row r="22" spans="1:18" ht="30" customHeight="1" x14ac:dyDescent="0.25">
      <c r="A22" s="21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2"/>
    </row>
    <row r="23" spans="1:18" ht="30" customHeight="1" x14ac:dyDescent="0.25">
      <c r="A23" s="21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2"/>
    </row>
    <row r="24" spans="1:18" ht="30" customHeight="1" x14ac:dyDescent="0.25">
      <c r="A24" s="21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30" customHeight="1" x14ac:dyDescent="0.25">
      <c r="A25" s="21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30" customHeight="1" x14ac:dyDescent="0.25">
      <c r="A26" s="21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30" customHeight="1" x14ac:dyDescent="0.25">
      <c r="A27" s="21"/>
      <c r="B27" s="7">
        <v>15</v>
      </c>
      <c r="C27" s="51" t="s">
        <v>90</v>
      </c>
      <c r="D27" s="51"/>
      <c r="E27" s="7" t="s">
        <v>132</v>
      </c>
      <c r="F27" s="8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30" customHeight="1" x14ac:dyDescent="0.25">
      <c r="A28" s="21"/>
      <c r="B28" s="7">
        <v>16</v>
      </c>
      <c r="C28" s="51" t="s">
        <v>90</v>
      </c>
      <c r="D28" s="51"/>
      <c r="E28" s="7" t="s">
        <v>132</v>
      </c>
      <c r="F28" s="8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30" customHeight="1" x14ac:dyDescent="0.25">
      <c r="A29" s="21"/>
      <c r="B29" s="7">
        <v>17</v>
      </c>
      <c r="C29" s="51" t="s">
        <v>90</v>
      </c>
      <c r="D29" s="51"/>
      <c r="E29" s="7" t="s">
        <v>132</v>
      </c>
      <c r="F29" s="8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34"/>
      <c r="B40" s="13"/>
      <c r="C40" s="13" t="s">
        <v>99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35"/>
    </row>
    <row r="41" spans="1:18" x14ac:dyDescent="0.25">
      <c r="A41" s="21"/>
      <c r="C41" t="s">
        <v>40</v>
      </c>
      <c r="F41" t="s">
        <v>41</v>
      </c>
      <c r="J41" t="s">
        <v>42</v>
      </c>
      <c r="O41" t="s">
        <v>43</v>
      </c>
      <c r="R41" s="22"/>
    </row>
    <row r="42" spans="1:18" x14ac:dyDescent="0.25">
      <c r="A42" s="21"/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ht="15.75" thickBot="1" x14ac:dyDescent="0.3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1"/>
    </row>
  </sheetData>
  <mergeCells count="50">
    <mergeCell ref="E11:E12"/>
    <mergeCell ref="F11:F12"/>
    <mergeCell ref="G11:H12"/>
    <mergeCell ref="I11:M11"/>
    <mergeCell ref="M8:N8"/>
    <mergeCell ref="M9:N9"/>
    <mergeCell ref="B30:C30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C27:D27"/>
    <mergeCell ref="G27:H27"/>
    <mergeCell ref="C28:D28"/>
    <mergeCell ref="G28:H28"/>
    <mergeCell ref="C29:D29"/>
    <mergeCell ref="G29:H29"/>
    <mergeCell ref="C24:D24"/>
    <mergeCell ref="G24:H24"/>
    <mergeCell ref="C25:D25"/>
    <mergeCell ref="G25:H25"/>
    <mergeCell ref="C26:D26"/>
    <mergeCell ref="G26:H26"/>
    <mergeCell ref="A1:R1"/>
    <mergeCell ref="A2:R2"/>
    <mergeCell ref="A3:R3"/>
    <mergeCell ref="A4:R4"/>
    <mergeCell ref="C23:D23"/>
    <mergeCell ref="G23:H23"/>
    <mergeCell ref="G21:H21"/>
    <mergeCell ref="C22:D22"/>
    <mergeCell ref="G22:H22"/>
    <mergeCell ref="C13:D13"/>
    <mergeCell ref="G13:H13"/>
    <mergeCell ref="N11:O11"/>
    <mergeCell ref="P11:P12"/>
    <mergeCell ref="Q11:Q12"/>
    <mergeCell ref="B11:B12"/>
    <mergeCell ref="C11:D12"/>
  </mergeCells>
  <pageMargins left="0.36" right="0.17" top="0.42" bottom="0.25" header="0.23" footer="0.17"/>
  <pageSetup scale="5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FBA4-69D8-4B6A-8D54-B986118DFD89}">
  <sheetPr>
    <pageSetUpPr fitToPage="1"/>
  </sheetPr>
  <dimension ref="A1:R48"/>
  <sheetViews>
    <sheetView zoomScale="85" zoomScaleNormal="85" workbookViewId="0">
      <selection activeCell="K46" sqref="K46"/>
    </sheetView>
  </sheetViews>
  <sheetFormatPr defaultRowHeight="15" x14ac:dyDescent="0.25"/>
  <cols>
    <col min="1" max="1" width="8" customWidth="1"/>
    <col min="2" max="2" width="4.140625" bestFit="1" customWidth="1"/>
    <col min="3" max="3" width="27.85546875" customWidth="1"/>
    <col min="4" max="4" width="1.7109375" customWidth="1"/>
    <col min="5" max="5" width="24.140625" bestFit="1" customWidth="1"/>
    <col min="6" max="6" width="37.140625" customWidth="1"/>
    <col min="7" max="7" width="1.42578125" bestFit="1" customWidth="1"/>
    <col min="8" max="8" width="18.85546875" customWidth="1"/>
    <col min="9" max="9" width="12.85546875" bestFit="1" customWidth="1"/>
    <col min="10" max="10" width="14.140625" customWidth="1"/>
    <col min="11" max="12" width="13" customWidth="1"/>
    <col min="13" max="13" width="15.42578125" customWidth="1"/>
    <col min="14" max="14" width="11" customWidth="1"/>
    <col min="15" max="15" width="14.42578125" customWidth="1"/>
    <col min="16" max="16" width="10.140625" customWidth="1"/>
    <col min="17" max="17" width="12.140625" customWidth="1"/>
    <col min="18" max="18" width="7.2851562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x14ac:dyDescent="0.2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18" x14ac:dyDescent="0.25">
      <c r="A3" s="67" t="s">
        <v>47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1:18" s="15" customFormat="1" ht="15.75" thickBot="1" x14ac:dyDescent="0.3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2"/>
    </row>
    <row r="5" spans="1:18" ht="11.2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145</v>
      </c>
      <c r="H6" s="6" t="s">
        <v>6</v>
      </c>
      <c r="J6" s="6" t="s">
        <v>85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155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118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x14ac:dyDescent="0.25">
      <c r="A9" s="23"/>
      <c r="C9" s="6" t="s">
        <v>16</v>
      </c>
      <c r="D9" s="6" t="s">
        <v>5</v>
      </c>
      <c r="E9" s="6" t="s">
        <v>117</v>
      </c>
      <c r="H9" s="6" t="s">
        <v>17</v>
      </c>
      <c r="J9" s="6" t="s">
        <v>18</v>
      </c>
      <c r="K9" s="36"/>
      <c r="M9" s="56" t="s">
        <v>19</v>
      </c>
      <c r="N9" s="56"/>
      <c r="O9" s="6" t="s">
        <v>20</v>
      </c>
      <c r="R9" s="24"/>
    </row>
    <row r="10" spans="1:18" s="6" customFormat="1" ht="9.75" customHeight="1" x14ac:dyDescent="0.25">
      <c r="A10" s="23"/>
      <c r="R10" s="24"/>
    </row>
    <row r="11" spans="1:18" s="14" customFormat="1" ht="15.75" x14ac:dyDescent="0.25">
      <c r="A11" s="25"/>
      <c r="B11" s="55" t="s">
        <v>21</v>
      </c>
      <c r="C11" s="55" t="s">
        <v>22</v>
      </c>
      <c r="D11" s="55"/>
      <c r="E11" s="55" t="s">
        <v>23</v>
      </c>
      <c r="F11" s="66" t="s">
        <v>24</v>
      </c>
      <c r="G11" s="55" t="s">
        <v>25</v>
      </c>
      <c r="H11" s="55"/>
      <c r="I11" s="55" t="s">
        <v>92</v>
      </c>
      <c r="J11" s="55"/>
      <c r="K11" s="55"/>
      <c r="L11" s="55"/>
      <c r="M11" s="55"/>
      <c r="N11" s="55" t="s">
        <v>26</v>
      </c>
      <c r="O11" s="55"/>
      <c r="P11" s="55" t="s">
        <v>88</v>
      </c>
      <c r="Q11" s="55" t="s">
        <v>27</v>
      </c>
      <c r="R11" s="26"/>
    </row>
    <row r="12" spans="1:18" s="14" customFormat="1" ht="27.75" customHeight="1" x14ac:dyDescent="0.25">
      <c r="A12" s="25"/>
      <c r="B12" s="55"/>
      <c r="C12" s="55"/>
      <c r="D12" s="55"/>
      <c r="E12" s="55"/>
      <c r="F12" s="66"/>
      <c r="G12" s="55"/>
      <c r="H12" s="55"/>
      <c r="I12" s="17" t="s">
        <v>28</v>
      </c>
      <c r="J12" s="17" t="s">
        <v>29</v>
      </c>
      <c r="K12" s="17" t="s">
        <v>30</v>
      </c>
      <c r="L12" s="17" t="s">
        <v>31</v>
      </c>
      <c r="M12" s="18" t="s">
        <v>32</v>
      </c>
      <c r="N12" s="17" t="s">
        <v>33</v>
      </c>
      <c r="O12" s="17" t="s">
        <v>34</v>
      </c>
      <c r="P12" s="55"/>
      <c r="Q12" s="55"/>
      <c r="R12" s="26"/>
    </row>
    <row r="13" spans="1:18" s="5" customFormat="1" ht="30" customHeight="1" x14ac:dyDescent="0.25">
      <c r="A13" s="27"/>
      <c r="B13" s="7">
        <v>1</v>
      </c>
      <c r="C13" s="51" t="s">
        <v>35</v>
      </c>
      <c r="D13" s="51"/>
      <c r="E13" s="7" t="s">
        <v>36</v>
      </c>
      <c r="F13" s="8" t="s">
        <v>51</v>
      </c>
      <c r="G13" s="52" t="s">
        <v>38</v>
      </c>
      <c r="H13" s="52"/>
      <c r="I13" s="19">
        <v>1.1200000000000001</v>
      </c>
      <c r="J13" s="19">
        <f t="shared" ref="J13:K18" si="0">I13+0.03</f>
        <v>1.1500000000000001</v>
      </c>
      <c r="K13" s="19">
        <f t="shared" si="0"/>
        <v>1.1800000000000002</v>
      </c>
      <c r="L13" s="20">
        <f t="shared" ref="L13:L25" si="1">K13+0.1</f>
        <v>1.2800000000000002</v>
      </c>
      <c r="M13" s="9" t="s">
        <v>37</v>
      </c>
      <c r="N13" s="10" t="s">
        <v>55</v>
      </c>
      <c r="O13" s="10" t="s">
        <v>64</v>
      </c>
      <c r="P13" s="11" t="s">
        <v>44</v>
      </c>
      <c r="Q13" s="8"/>
      <c r="R13" s="28"/>
    </row>
    <row r="14" spans="1:18" ht="30" customHeight="1" x14ac:dyDescent="0.25">
      <c r="A14" s="21"/>
      <c r="B14" s="7">
        <v>2</v>
      </c>
      <c r="C14" s="51" t="s">
        <v>35</v>
      </c>
      <c r="D14" s="51"/>
      <c r="E14" s="7" t="s">
        <v>36</v>
      </c>
      <c r="F14" s="8" t="s">
        <v>86</v>
      </c>
      <c r="G14" s="52" t="s">
        <v>38</v>
      </c>
      <c r="H14" s="52"/>
      <c r="I14" s="19">
        <v>1.32</v>
      </c>
      <c r="J14" s="19">
        <f t="shared" si="0"/>
        <v>1.35</v>
      </c>
      <c r="K14" s="19">
        <f t="shared" si="0"/>
        <v>1.3800000000000001</v>
      </c>
      <c r="L14" s="20">
        <f t="shared" si="1"/>
        <v>1.4800000000000002</v>
      </c>
      <c r="M14" s="9" t="s">
        <v>37</v>
      </c>
      <c r="N14" s="10" t="s">
        <v>55</v>
      </c>
      <c r="O14" s="10" t="s">
        <v>64</v>
      </c>
      <c r="P14" s="11" t="s">
        <v>44</v>
      </c>
      <c r="Q14" s="8"/>
      <c r="R14" s="22"/>
    </row>
    <row r="15" spans="1:18" ht="30" customHeight="1" x14ac:dyDescent="0.25">
      <c r="A15" s="21"/>
      <c r="B15" s="7">
        <v>3</v>
      </c>
      <c r="C15" s="51" t="s">
        <v>35</v>
      </c>
      <c r="D15" s="51"/>
      <c r="E15" s="7" t="s">
        <v>36</v>
      </c>
      <c r="F15" s="8" t="s">
        <v>73</v>
      </c>
      <c r="G15" s="52" t="s">
        <v>38</v>
      </c>
      <c r="H15" s="52"/>
      <c r="I15" s="19">
        <v>1.1499999999999999</v>
      </c>
      <c r="J15" s="19">
        <f t="shared" si="0"/>
        <v>1.18</v>
      </c>
      <c r="K15" s="19">
        <f>J15+0.03</f>
        <v>1.21</v>
      </c>
      <c r="L15" s="20">
        <f t="shared" si="1"/>
        <v>1.31</v>
      </c>
      <c r="M15" s="9" t="s">
        <v>37</v>
      </c>
      <c r="N15" s="10" t="s">
        <v>55</v>
      </c>
      <c r="O15" s="10" t="s">
        <v>64</v>
      </c>
      <c r="P15" s="7">
        <v>13</v>
      </c>
      <c r="Q15" s="8"/>
      <c r="R15" s="22"/>
    </row>
    <row r="16" spans="1:18" ht="30" customHeight="1" x14ac:dyDescent="0.25">
      <c r="A16" s="21"/>
      <c r="B16" s="7">
        <v>4</v>
      </c>
      <c r="C16" s="51" t="s">
        <v>35</v>
      </c>
      <c r="D16" s="51"/>
      <c r="E16" s="7" t="s">
        <v>36</v>
      </c>
      <c r="F16" s="8" t="s">
        <v>87</v>
      </c>
      <c r="G16" s="52" t="s">
        <v>38</v>
      </c>
      <c r="H16" s="52"/>
      <c r="I16" s="19">
        <v>1.35</v>
      </c>
      <c r="J16" s="19">
        <f t="shared" si="0"/>
        <v>1.3800000000000001</v>
      </c>
      <c r="K16" s="19">
        <f>J16+0.03</f>
        <v>1.4100000000000001</v>
      </c>
      <c r="L16" s="20">
        <f t="shared" si="1"/>
        <v>1.5100000000000002</v>
      </c>
      <c r="M16" s="9" t="s">
        <v>37</v>
      </c>
      <c r="N16" s="10" t="s">
        <v>55</v>
      </c>
      <c r="O16" s="10" t="s">
        <v>64</v>
      </c>
      <c r="P16" s="7">
        <v>13</v>
      </c>
      <c r="Q16" s="8"/>
      <c r="R16" s="22"/>
    </row>
    <row r="17" spans="1:18" ht="30" customHeight="1" x14ac:dyDescent="0.25">
      <c r="A17" s="21"/>
      <c r="B17" s="7">
        <v>5</v>
      </c>
      <c r="C17" s="51" t="s">
        <v>35</v>
      </c>
      <c r="D17" s="51"/>
      <c r="E17" s="7" t="s">
        <v>36</v>
      </c>
      <c r="F17" s="8" t="s">
        <v>70</v>
      </c>
      <c r="G17" s="52" t="s">
        <v>38</v>
      </c>
      <c r="H17" s="52"/>
      <c r="I17" s="19">
        <v>1.1200000000000001</v>
      </c>
      <c r="J17" s="19">
        <f t="shared" si="0"/>
        <v>1.1500000000000001</v>
      </c>
      <c r="K17" s="19">
        <f>J17+0.03</f>
        <v>1.1800000000000002</v>
      </c>
      <c r="L17" s="20">
        <f t="shared" si="1"/>
        <v>1.2800000000000002</v>
      </c>
      <c r="M17" s="9" t="s">
        <v>37</v>
      </c>
      <c r="N17" s="10" t="s">
        <v>55</v>
      </c>
      <c r="O17" s="10" t="s">
        <v>64</v>
      </c>
      <c r="P17" s="11" t="s">
        <v>44</v>
      </c>
      <c r="Q17" s="8"/>
      <c r="R17" s="22"/>
    </row>
    <row r="18" spans="1:18" ht="30" customHeight="1" x14ac:dyDescent="0.25">
      <c r="A18" s="21"/>
      <c r="B18" s="7">
        <v>6</v>
      </c>
      <c r="C18" s="51" t="s">
        <v>35</v>
      </c>
      <c r="D18" s="51"/>
      <c r="E18" s="7" t="s">
        <v>36</v>
      </c>
      <c r="F18" s="8" t="s">
        <v>68</v>
      </c>
      <c r="G18" s="52" t="s">
        <v>38</v>
      </c>
      <c r="H18" s="52"/>
      <c r="I18" s="19">
        <v>1.1499999999999999</v>
      </c>
      <c r="J18" s="19">
        <f t="shared" si="0"/>
        <v>1.18</v>
      </c>
      <c r="K18" s="19">
        <f t="shared" si="0"/>
        <v>1.21</v>
      </c>
      <c r="L18" s="20">
        <f t="shared" si="1"/>
        <v>1.31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30" customHeight="1" x14ac:dyDescent="0.25">
      <c r="A19" s="21"/>
      <c r="B19" s="7">
        <v>7</v>
      </c>
      <c r="C19" s="51" t="s">
        <v>35</v>
      </c>
      <c r="D19" s="51"/>
      <c r="E19" s="7" t="s">
        <v>36</v>
      </c>
      <c r="F19" s="8" t="s">
        <v>69</v>
      </c>
      <c r="G19" s="52" t="s">
        <v>38</v>
      </c>
      <c r="H19" s="52"/>
      <c r="I19" s="19">
        <v>1.37</v>
      </c>
      <c r="J19" s="19">
        <f>I19+0.03</f>
        <v>1.4000000000000001</v>
      </c>
      <c r="K19" s="19">
        <f>J19+0.03</f>
        <v>1.4300000000000002</v>
      </c>
      <c r="L19" s="20">
        <f>K19+0.1</f>
        <v>1.5300000000000002</v>
      </c>
      <c r="M19" s="9" t="s">
        <v>37</v>
      </c>
      <c r="N19" s="10" t="s">
        <v>55</v>
      </c>
      <c r="O19" s="10" t="s">
        <v>64</v>
      </c>
      <c r="P19" s="7">
        <v>13</v>
      </c>
      <c r="Q19" s="8"/>
      <c r="R19" s="22"/>
    </row>
    <row r="20" spans="1:18" ht="30" customHeight="1" x14ac:dyDescent="0.25">
      <c r="A20" s="21"/>
      <c r="B20" s="7">
        <v>8</v>
      </c>
      <c r="C20" s="51" t="s">
        <v>35</v>
      </c>
      <c r="D20" s="51"/>
      <c r="E20" s="7" t="s">
        <v>36</v>
      </c>
      <c r="F20" s="8" t="s">
        <v>63</v>
      </c>
      <c r="G20" s="52" t="s">
        <v>38</v>
      </c>
      <c r="H20" s="52"/>
      <c r="I20" s="19">
        <v>1.5</v>
      </c>
      <c r="J20" s="19">
        <v>1.5</v>
      </c>
      <c r="K20" s="19">
        <v>1.5</v>
      </c>
      <c r="L20" s="20">
        <f>K20+0.1</f>
        <v>1.6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30" customHeight="1" x14ac:dyDescent="0.25">
      <c r="A21" s="21"/>
      <c r="B21" s="7">
        <v>9</v>
      </c>
      <c r="C21" s="51" t="s">
        <v>35</v>
      </c>
      <c r="D21" s="51"/>
      <c r="E21" s="7" t="s">
        <v>36</v>
      </c>
      <c r="F21" s="8" t="s">
        <v>74</v>
      </c>
      <c r="G21" s="52" t="s">
        <v>38</v>
      </c>
      <c r="H21" s="52"/>
      <c r="I21" s="19">
        <v>1.6</v>
      </c>
      <c r="J21" s="19">
        <v>1.6</v>
      </c>
      <c r="K21" s="20">
        <v>1.6</v>
      </c>
      <c r="L21" s="20">
        <f t="shared" si="1"/>
        <v>1.7000000000000002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7"/>
      <c r="R21" s="22"/>
    </row>
    <row r="22" spans="1:18" ht="30" customHeight="1" x14ac:dyDescent="0.25">
      <c r="A22" s="21"/>
      <c r="B22" s="7">
        <v>10</v>
      </c>
      <c r="C22" s="51" t="s">
        <v>35</v>
      </c>
      <c r="D22" s="51"/>
      <c r="E22" s="8" t="s">
        <v>65</v>
      </c>
      <c r="F22" s="8" t="s">
        <v>66</v>
      </c>
      <c r="G22" s="52" t="s">
        <v>38</v>
      </c>
      <c r="H22" s="52"/>
      <c r="I22" s="19">
        <v>1.63</v>
      </c>
      <c r="J22" s="19">
        <v>1.63</v>
      </c>
      <c r="K22" s="19">
        <v>1.63</v>
      </c>
      <c r="L22" s="20">
        <f t="shared" si="1"/>
        <v>1.73</v>
      </c>
      <c r="M22" s="9" t="s">
        <v>37</v>
      </c>
      <c r="N22" s="10" t="s">
        <v>55</v>
      </c>
      <c r="O22" s="10" t="s">
        <v>64</v>
      </c>
      <c r="P22" s="11" t="s">
        <v>44</v>
      </c>
      <c r="Q22" s="8"/>
      <c r="R22" s="22"/>
    </row>
    <row r="23" spans="1:18" ht="30" customHeight="1" x14ac:dyDescent="0.25">
      <c r="A23" s="21"/>
      <c r="B23" s="7">
        <v>11</v>
      </c>
      <c r="C23" s="51" t="s">
        <v>35</v>
      </c>
      <c r="D23" s="51"/>
      <c r="E23" s="7" t="s">
        <v>36</v>
      </c>
      <c r="F23" s="8" t="s">
        <v>80</v>
      </c>
      <c r="G23" s="52" t="s">
        <v>38</v>
      </c>
      <c r="H23" s="52"/>
      <c r="I23" s="19">
        <v>1.91</v>
      </c>
      <c r="J23" s="19">
        <v>1.91</v>
      </c>
      <c r="K23" s="19">
        <v>1.91</v>
      </c>
      <c r="L23" s="20">
        <f t="shared" si="1"/>
        <v>2.0099999999999998</v>
      </c>
      <c r="M23" s="9" t="s">
        <v>37</v>
      </c>
      <c r="N23" s="10" t="s">
        <v>55</v>
      </c>
      <c r="O23" s="10" t="s">
        <v>64</v>
      </c>
      <c r="P23" s="11" t="s">
        <v>44</v>
      </c>
      <c r="Q23" s="8"/>
      <c r="R23" s="22"/>
    </row>
    <row r="24" spans="1:18" ht="30" customHeight="1" x14ac:dyDescent="0.25">
      <c r="A24" s="21"/>
      <c r="B24" s="7">
        <v>12</v>
      </c>
      <c r="C24" s="51" t="s">
        <v>35</v>
      </c>
      <c r="D24" s="51"/>
      <c r="E24" s="7" t="s">
        <v>36</v>
      </c>
      <c r="F24" s="8" t="s">
        <v>81</v>
      </c>
      <c r="G24" s="52" t="s">
        <v>38</v>
      </c>
      <c r="H24" s="52"/>
      <c r="I24" s="19">
        <v>1.8</v>
      </c>
      <c r="J24" s="19">
        <v>1.8</v>
      </c>
      <c r="K24" s="19">
        <v>1.8</v>
      </c>
      <c r="L24" s="20">
        <f t="shared" si="1"/>
        <v>1.9000000000000001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30" customHeight="1" x14ac:dyDescent="0.25">
      <c r="A25" s="21"/>
      <c r="B25" s="7">
        <v>13</v>
      </c>
      <c r="C25" s="51" t="s">
        <v>35</v>
      </c>
      <c r="D25" s="51"/>
      <c r="E25" s="7" t="s">
        <v>36</v>
      </c>
      <c r="F25" s="8" t="s">
        <v>83</v>
      </c>
      <c r="G25" s="52" t="s">
        <v>38</v>
      </c>
      <c r="H25" s="52"/>
      <c r="I25" s="19">
        <v>1.62</v>
      </c>
      <c r="J25" s="19">
        <v>1.62</v>
      </c>
      <c r="K25" s="19">
        <v>1.62</v>
      </c>
      <c r="L25" s="20">
        <f t="shared" si="1"/>
        <v>1.7200000000000002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30" customHeight="1" x14ac:dyDescent="0.25">
      <c r="A26" s="21"/>
      <c r="B26" s="7">
        <v>14</v>
      </c>
      <c r="C26" s="51" t="s">
        <v>35</v>
      </c>
      <c r="D26" s="51"/>
      <c r="E26" s="7" t="s">
        <v>36</v>
      </c>
      <c r="F26" s="8" t="s">
        <v>124</v>
      </c>
      <c r="G26" s="52" t="s">
        <v>38</v>
      </c>
      <c r="H26" s="52"/>
      <c r="I26" s="19">
        <v>1.84</v>
      </c>
      <c r="J26" s="19">
        <v>1.84</v>
      </c>
      <c r="K26" s="19">
        <v>1.84</v>
      </c>
      <c r="L26" s="20" t="s">
        <v>125</v>
      </c>
      <c r="M26" s="9" t="s">
        <v>125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30" customHeight="1" x14ac:dyDescent="0.25">
      <c r="A27" s="21"/>
      <c r="B27" s="7">
        <v>15</v>
      </c>
      <c r="C27" s="51" t="s">
        <v>90</v>
      </c>
      <c r="D27" s="51"/>
      <c r="E27" s="7" t="s">
        <v>132</v>
      </c>
      <c r="F27" s="8" t="s">
        <v>91</v>
      </c>
      <c r="G27" s="52" t="s">
        <v>38</v>
      </c>
      <c r="H27" s="52"/>
      <c r="I27" s="19">
        <v>1.22</v>
      </c>
      <c r="J27" s="19">
        <v>1.22</v>
      </c>
      <c r="K27" s="19">
        <v>1.22</v>
      </c>
      <c r="L27" s="20">
        <f t="shared" ref="L27:L29" si="2">K27+0.1</f>
        <v>1.32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30" customHeight="1" x14ac:dyDescent="0.25">
      <c r="A28" s="21"/>
      <c r="B28" s="7">
        <v>16</v>
      </c>
      <c r="C28" s="51" t="s">
        <v>90</v>
      </c>
      <c r="D28" s="51"/>
      <c r="E28" s="7" t="s">
        <v>132</v>
      </c>
      <c r="F28" s="8" t="s">
        <v>115</v>
      </c>
      <c r="G28" s="52" t="s">
        <v>38</v>
      </c>
      <c r="H28" s="52"/>
      <c r="I28" s="19">
        <v>1.3</v>
      </c>
      <c r="J28" s="19">
        <v>1.3</v>
      </c>
      <c r="K28" s="19">
        <v>1.3</v>
      </c>
      <c r="L28" s="20">
        <f t="shared" si="2"/>
        <v>1.4000000000000001</v>
      </c>
      <c r="M28" s="9" t="s">
        <v>37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30" customHeight="1" x14ac:dyDescent="0.25">
      <c r="A29" s="21"/>
      <c r="B29" s="7">
        <v>17</v>
      </c>
      <c r="C29" s="51" t="s">
        <v>90</v>
      </c>
      <c r="D29" s="51"/>
      <c r="E29" s="7" t="s">
        <v>132</v>
      </c>
      <c r="F29" s="8" t="s">
        <v>114</v>
      </c>
      <c r="G29" s="52" t="s">
        <v>38</v>
      </c>
      <c r="H29" s="52"/>
      <c r="I29" s="19">
        <v>1.78</v>
      </c>
      <c r="J29" s="19">
        <v>1.78</v>
      </c>
      <c r="K29" s="19">
        <v>1.78</v>
      </c>
      <c r="L29" s="20">
        <f t="shared" si="2"/>
        <v>1.8800000000000001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94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M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ht="15.75" thickBot="1" x14ac:dyDescent="0.3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</row>
  </sheetData>
  <mergeCells count="50">
    <mergeCell ref="M9:N9"/>
    <mergeCell ref="A1:R1"/>
    <mergeCell ref="A2:R2"/>
    <mergeCell ref="A3:R3"/>
    <mergeCell ref="A4:R4"/>
    <mergeCell ref="M8:N8"/>
    <mergeCell ref="C14:D14"/>
    <mergeCell ref="G14:H14"/>
    <mergeCell ref="B11:B12"/>
    <mergeCell ref="C11:D12"/>
    <mergeCell ref="E11:E12"/>
    <mergeCell ref="F11:F12"/>
    <mergeCell ref="G11:H12"/>
    <mergeCell ref="N11:O11"/>
    <mergeCell ref="P11:P12"/>
    <mergeCell ref="Q11:Q12"/>
    <mergeCell ref="C13:D13"/>
    <mergeCell ref="G13:H13"/>
    <mergeCell ref="I11:M11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B30:C30"/>
    <mergeCell ref="C27:D27"/>
    <mergeCell ref="G27:H27"/>
    <mergeCell ref="C28:D28"/>
    <mergeCell ref="G28:H28"/>
    <mergeCell ref="C29:D29"/>
    <mergeCell ref="G29:H29"/>
  </mergeCells>
  <pageMargins left="0.36" right="0.17" top="0.42" bottom="0.25" header="0.23" footer="0.17"/>
  <pageSetup scale="5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CDB3-4B4D-4BA8-840D-38293939C9CD}">
  <sheetPr>
    <pageSetUpPr fitToPage="1"/>
  </sheetPr>
  <dimension ref="A1:R49"/>
  <sheetViews>
    <sheetView zoomScale="85" zoomScaleNormal="85" workbookViewId="0">
      <selection activeCell="J8" sqref="J8"/>
    </sheetView>
  </sheetViews>
  <sheetFormatPr defaultRowHeight="15" x14ac:dyDescent="0.25"/>
  <cols>
    <col min="1" max="1" width="7.85546875" customWidth="1"/>
    <col min="2" max="2" width="4.140625" bestFit="1" customWidth="1"/>
    <col min="3" max="3" width="28.42578125" customWidth="1"/>
    <col min="4" max="4" width="1.7109375" customWidth="1"/>
    <col min="5" max="5" width="24.85546875" customWidth="1"/>
    <col min="6" max="6" width="39.7109375" customWidth="1"/>
    <col min="7" max="7" width="1.42578125" bestFit="1" customWidth="1"/>
    <col min="8" max="8" width="17.5703125" customWidth="1"/>
    <col min="9" max="11" width="10.7109375" customWidth="1"/>
    <col min="12" max="12" width="14.7109375" customWidth="1"/>
    <col min="13" max="13" width="17.5703125" customWidth="1"/>
    <col min="14" max="14" width="12" customWidth="1"/>
    <col min="15" max="15" width="13.85546875" customWidth="1"/>
    <col min="16" max="16" width="12.140625" customWidth="1"/>
    <col min="17" max="17" width="11.5703125" customWidth="1"/>
    <col min="18" max="18" width="6.85546875" customWidth="1"/>
  </cols>
  <sheetData>
    <row r="1" spans="1:18" s="16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ht="15.75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1:18" ht="15.75" x14ac:dyDescent="0.25">
      <c r="A3" s="60" t="s">
        <v>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s="15" customFormat="1" ht="16.5" thickBot="1" x14ac:dyDescent="0.3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ht="8.25" customHeight="1" thickTop="1" x14ac:dyDescent="0.25">
      <c r="A5" s="21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148</v>
      </c>
      <c r="H6" s="6" t="s">
        <v>6</v>
      </c>
      <c r="J6" s="6" t="s">
        <v>119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122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hidden="1" x14ac:dyDescent="0.25">
      <c r="A9" s="23"/>
      <c r="E9" s="6" t="s">
        <v>121</v>
      </c>
      <c r="K9" s="36"/>
      <c r="M9" s="37"/>
      <c r="N9" s="37"/>
      <c r="R9" s="24"/>
    </row>
    <row r="10" spans="1:18" s="6" customFormat="1" ht="15.75" hidden="1" x14ac:dyDescent="0.25">
      <c r="A10" s="23"/>
      <c r="E10" s="6" t="s">
        <v>120</v>
      </c>
      <c r="K10" s="36"/>
      <c r="M10" s="37"/>
      <c r="N10" s="37"/>
      <c r="R10" s="24"/>
    </row>
    <row r="11" spans="1:18" s="6" customFormat="1" ht="15.75" x14ac:dyDescent="0.25">
      <c r="A11" s="23"/>
      <c r="C11" s="6" t="s">
        <v>16</v>
      </c>
      <c r="D11" s="6" t="s">
        <v>5</v>
      </c>
      <c r="E11" s="6" t="s">
        <v>123</v>
      </c>
      <c r="H11" s="6" t="s">
        <v>17</v>
      </c>
      <c r="J11" s="6" t="s">
        <v>50</v>
      </c>
      <c r="K11" s="36"/>
      <c r="M11" s="56" t="s">
        <v>19</v>
      </c>
      <c r="N11" s="56"/>
      <c r="O11" s="6" t="s">
        <v>20</v>
      </c>
      <c r="R11" s="24"/>
    </row>
    <row r="12" spans="1:18" s="6" customFormat="1" ht="6.75" customHeight="1" x14ac:dyDescent="0.25">
      <c r="A12" s="23"/>
      <c r="R12" s="24"/>
    </row>
    <row r="13" spans="1:18" s="14" customFormat="1" ht="15.75" customHeight="1" x14ac:dyDescent="0.25">
      <c r="A13" s="25"/>
      <c r="B13" s="55" t="s">
        <v>21</v>
      </c>
      <c r="C13" s="55" t="s">
        <v>22</v>
      </c>
      <c r="D13" s="55"/>
      <c r="E13" s="55" t="s">
        <v>23</v>
      </c>
      <c r="F13" s="66" t="s">
        <v>24</v>
      </c>
      <c r="G13" s="55" t="s">
        <v>25</v>
      </c>
      <c r="H13" s="55"/>
      <c r="I13" s="55" t="s">
        <v>92</v>
      </c>
      <c r="J13" s="55"/>
      <c r="K13" s="55"/>
      <c r="L13" s="55"/>
      <c r="M13" s="55"/>
      <c r="N13" s="55" t="s">
        <v>26</v>
      </c>
      <c r="O13" s="55"/>
      <c r="P13" s="55" t="s">
        <v>88</v>
      </c>
      <c r="Q13" s="55" t="s">
        <v>27</v>
      </c>
      <c r="R13" s="26"/>
    </row>
    <row r="14" spans="1:18" s="14" customFormat="1" ht="27.75" customHeight="1" x14ac:dyDescent="0.25">
      <c r="A14" s="25"/>
      <c r="B14" s="55"/>
      <c r="C14" s="55"/>
      <c r="D14" s="55"/>
      <c r="E14" s="55"/>
      <c r="F14" s="66"/>
      <c r="G14" s="55"/>
      <c r="H14" s="55"/>
      <c r="I14" s="17" t="s">
        <v>28</v>
      </c>
      <c r="J14" s="17" t="s">
        <v>29</v>
      </c>
      <c r="K14" s="17" t="s">
        <v>30</v>
      </c>
      <c r="L14" s="17" t="s">
        <v>31</v>
      </c>
      <c r="M14" s="18" t="s">
        <v>32</v>
      </c>
      <c r="N14" s="17" t="s">
        <v>33</v>
      </c>
      <c r="O14" s="17" t="s">
        <v>34</v>
      </c>
      <c r="P14" s="55"/>
      <c r="Q14" s="55"/>
      <c r="R14" s="26"/>
    </row>
    <row r="15" spans="1:18" s="5" customFormat="1" ht="30" customHeight="1" x14ac:dyDescent="0.25">
      <c r="A15" s="27"/>
      <c r="B15" s="7">
        <v>1</v>
      </c>
      <c r="C15" s="51" t="s">
        <v>35</v>
      </c>
      <c r="D15" s="51"/>
      <c r="E15" s="7" t="s">
        <v>36</v>
      </c>
      <c r="F15" s="8" t="s">
        <v>51</v>
      </c>
      <c r="G15" s="52" t="s">
        <v>38</v>
      </c>
      <c r="H15" s="52"/>
      <c r="I15" s="19">
        <v>1.1200000000000001</v>
      </c>
      <c r="J15" s="19">
        <f t="shared" ref="J15:K20" si="0">I15+0.03</f>
        <v>1.1500000000000001</v>
      </c>
      <c r="K15" s="19">
        <f t="shared" si="0"/>
        <v>1.1800000000000002</v>
      </c>
      <c r="L15" s="20">
        <f t="shared" ref="L15:L27" si="1">K15+0.1</f>
        <v>1.2800000000000002</v>
      </c>
      <c r="M15" s="9" t="s">
        <v>37</v>
      </c>
      <c r="N15" s="10" t="s">
        <v>55</v>
      </c>
      <c r="O15" s="10" t="s">
        <v>64</v>
      </c>
      <c r="P15" s="11" t="s">
        <v>44</v>
      </c>
      <c r="Q15" s="8"/>
      <c r="R15" s="28"/>
    </row>
    <row r="16" spans="1:18" ht="30" customHeight="1" x14ac:dyDescent="0.25">
      <c r="A16" s="21"/>
      <c r="B16" s="7">
        <v>2</v>
      </c>
      <c r="C16" s="51" t="s">
        <v>35</v>
      </c>
      <c r="D16" s="51"/>
      <c r="E16" s="7" t="s">
        <v>36</v>
      </c>
      <c r="F16" s="8" t="s">
        <v>86</v>
      </c>
      <c r="G16" s="52" t="s">
        <v>38</v>
      </c>
      <c r="H16" s="52"/>
      <c r="I16" s="19">
        <v>1.32</v>
      </c>
      <c r="J16" s="19">
        <f t="shared" si="0"/>
        <v>1.35</v>
      </c>
      <c r="K16" s="19">
        <f t="shared" si="0"/>
        <v>1.3800000000000001</v>
      </c>
      <c r="L16" s="20">
        <f t="shared" si="1"/>
        <v>1.4800000000000002</v>
      </c>
      <c r="M16" s="9" t="s">
        <v>37</v>
      </c>
      <c r="N16" s="10" t="s">
        <v>55</v>
      </c>
      <c r="O16" s="10" t="s">
        <v>64</v>
      </c>
      <c r="P16" s="11" t="s">
        <v>44</v>
      </c>
      <c r="Q16" s="8"/>
      <c r="R16" s="22"/>
    </row>
    <row r="17" spans="1:18" ht="30" customHeight="1" x14ac:dyDescent="0.25">
      <c r="A17" s="21"/>
      <c r="B17" s="7">
        <v>3</v>
      </c>
      <c r="C17" s="51" t="s">
        <v>35</v>
      </c>
      <c r="D17" s="51"/>
      <c r="E17" s="7" t="s">
        <v>36</v>
      </c>
      <c r="F17" s="8" t="s">
        <v>73</v>
      </c>
      <c r="G17" s="52" t="s">
        <v>38</v>
      </c>
      <c r="H17" s="52"/>
      <c r="I17" s="19">
        <v>1.1499999999999999</v>
      </c>
      <c r="J17" s="19">
        <f t="shared" si="0"/>
        <v>1.18</v>
      </c>
      <c r="K17" s="19">
        <f>J17+0.03</f>
        <v>1.21</v>
      </c>
      <c r="L17" s="20">
        <f t="shared" si="1"/>
        <v>1.31</v>
      </c>
      <c r="M17" s="9" t="s">
        <v>37</v>
      </c>
      <c r="N17" s="10" t="s">
        <v>55</v>
      </c>
      <c r="O17" s="10" t="s">
        <v>64</v>
      </c>
      <c r="P17" s="7">
        <v>13</v>
      </c>
      <c r="Q17" s="8"/>
      <c r="R17" s="22"/>
    </row>
    <row r="18" spans="1:18" ht="30" customHeight="1" x14ac:dyDescent="0.25">
      <c r="A18" s="21"/>
      <c r="B18" s="7">
        <v>4</v>
      </c>
      <c r="C18" s="51" t="s">
        <v>35</v>
      </c>
      <c r="D18" s="51"/>
      <c r="E18" s="7" t="s">
        <v>36</v>
      </c>
      <c r="F18" s="8" t="s">
        <v>87</v>
      </c>
      <c r="G18" s="52" t="s">
        <v>38</v>
      </c>
      <c r="H18" s="52"/>
      <c r="I18" s="19">
        <v>1.35</v>
      </c>
      <c r="J18" s="19">
        <f t="shared" si="0"/>
        <v>1.3800000000000001</v>
      </c>
      <c r="K18" s="19">
        <f>J18+0.03</f>
        <v>1.4100000000000001</v>
      </c>
      <c r="L18" s="20">
        <f t="shared" si="1"/>
        <v>1.5100000000000002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30" customHeight="1" x14ac:dyDescent="0.25">
      <c r="A19" s="21"/>
      <c r="B19" s="7">
        <v>5</v>
      </c>
      <c r="C19" s="51" t="s">
        <v>35</v>
      </c>
      <c r="D19" s="51"/>
      <c r="E19" s="7" t="s">
        <v>36</v>
      </c>
      <c r="F19" s="8" t="s">
        <v>70</v>
      </c>
      <c r="G19" s="52" t="s">
        <v>38</v>
      </c>
      <c r="H19" s="52"/>
      <c r="I19" s="19">
        <v>1.1200000000000001</v>
      </c>
      <c r="J19" s="19">
        <f t="shared" si="0"/>
        <v>1.1500000000000001</v>
      </c>
      <c r="K19" s="19">
        <f>J19+0.03</f>
        <v>1.1800000000000002</v>
      </c>
      <c r="L19" s="20">
        <f t="shared" si="1"/>
        <v>1.2800000000000002</v>
      </c>
      <c r="M19" s="9" t="s">
        <v>37</v>
      </c>
      <c r="N19" s="10" t="s">
        <v>55</v>
      </c>
      <c r="O19" s="10" t="s">
        <v>64</v>
      </c>
      <c r="P19" s="11" t="s">
        <v>44</v>
      </c>
      <c r="Q19" s="8"/>
      <c r="R19" s="22"/>
    </row>
    <row r="20" spans="1:18" ht="30" customHeight="1" x14ac:dyDescent="0.25">
      <c r="A20" s="21"/>
      <c r="B20" s="7">
        <v>6</v>
      </c>
      <c r="C20" s="51" t="s">
        <v>35</v>
      </c>
      <c r="D20" s="51"/>
      <c r="E20" s="7" t="s">
        <v>36</v>
      </c>
      <c r="F20" s="8" t="s">
        <v>68</v>
      </c>
      <c r="G20" s="52" t="s">
        <v>38</v>
      </c>
      <c r="H20" s="52"/>
      <c r="I20" s="19">
        <v>1.1499999999999999</v>
      </c>
      <c r="J20" s="19">
        <f t="shared" si="0"/>
        <v>1.18</v>
      </c>
      <c r="K20" s="19">
        <f t="shared" si="0"/>
        <v>1.21</v>
      </c>
      <c r="L20" s="20">
        <f t="shared" si="1"/>
        <v>1.31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30" customHeight="1" x14ac:dyDescent="0.25">
      <c r="A21" s="21"/>
      <c r="B21" s="7">
        <v>7</v>
      </c>
      <c r="C21" s="51" t="s">
        <v>35</v>
      </c>
      <c r="D21" s="51"/>
      <c r="E21" s="7" t="s">
        <v>36</v>
      </c>
      <c r="F21" s="8" t="s">
        <v>69</v>
      </c>
      <c r="G21" s="52" t="s">
        <v>38</v>
      </c>
      <c r="H21" s="52"/>
      <c r="I21" s="19">
        <v>1.37</v>
      </c>
      <c r="J21" s="19">
        <f>I21+0.03</f>
        <v>1.4000000000000001</v>
      </c>
      <c r="K21" s="19">
        <f>J21+0.03</f>
        <v>1.4300000000000002</v>
      </c>
      <c r="L21" s="20">
        <f>K21+0.1</f>
        <v>1.5300000000000002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8"/>
      <c r="R21" s="22"/>
    </row>
    <row r="22" spans="1:18" ht="30" customHeight="1" x14ac:dyDescent="0.25">
      <c r="A22" s="21"/>
      <c r="B22" s="7">
        <v>8</v>
      </c>
      <c r="C22" s="51" t="s">
        <v>35</v>
      </c>
      <c r="D22" s="51"/>
      <c r="E22" s="7" t="s">
        <v>36</v>
      </c>
      <c r="F22" s="8" t="s">
        <v>63</v>
      </c>
      <c r="G22" s="52" t="s">
        <v>38</v>
      </c>
      <c r="H22" s="52"/>
      <c r="I22" s="19">
        <v>1.5</v>
      </c>
      <c r="J22" s="19">
        <v>1.5</v>
      </c>
      <c r="K22" s="19">
        <v>1.5</v>
      </c>
      <c r="L22" s="20">
        <f>K22+0.1</f>
        <v>1.6</v>
      </c>
      <c r="M22" s="9" t="s">
        <v>37</v>
      </c>
      <c r="N22" s="10" t="s">
        <v>55</v>
      </c>
      <c r="O22" s="10" t="s">
        <v>64</v>
      </c>
      <c r="P22" s="7">
        <v>13</v>
      </c>
      <c r="Q22" s="8"/>
      <c r="R22" s="22"/>
    </row>
    <row r="23" spans="1:18" ht="30" customHeight="1" x14ac:dyDescent="0.25">
      <c r="A23" s="21"/>
      <c r="B23" s="7">
        <v>9</v>
      </c>
      <c r="C23" s="51" t="s">
        <v>35</v>
      </c>
      <c r="D23" s="51"/>
      <c r="E23" s="7" t="s">
        <v>36</v>
      </c>
      <c r="F23" s="8" t="s">
        <v>74</v>
      </c>
      <c r="G23" s="52" t="s">
        <v>38</v>
      </c>
      <c r="H23" s="52"/>
      <c r="I23" s="19">
        <v>1.6</v>
      </c>
      <c r="J23" s="19">
        <v>1.6</v>
      </c>
      <c r="K23" s="20">
        <v>1.6</v>
      </c>
      <c r="L23" s="20">
        <f t="shared" si="1"/>
        <v>1.7000000000000002</v>
      </c>
      <c r="M23" s="9" t="s">
        <v>37</v>
      </c>
      <c r="N23" s="10" t="s">
        <v>55</v>
      </c>
      <c r="O23" s="10" t="s">
        <v>64</v>
      </c>
      <c r="P23" s="7">
        <v>13</v>
      </c>
      <c r="Q23" s="7"/>
      <c r="R23" s="22"/>
    </row>
    <row r="24" spans="1:18" ht="30" customHeight="1" x14ac:dyDescent="0.25">
      <c r="A24" s="21"/>
      <c r="B24" s="7">
        <v>10</v>
      </c>
      <c r="C24" s="51" t="s">
        <v>35</v>
      </c>
      <c r="D24" s="51"/>
      <c r="E24" s="8" t="s">
        <v>65</v>
      </c>
      <c r="F24" s="8" t="s">
        <v>66</v>
      </c>
      <c r="G24" s="52" t="s">
        <v>38</v>
      </c>
      <c r="H24" s="52"/>
      <c r="I24" s="19">
        <v>1.63</v>
      </c>
      <c r="J24" s="19">
        <v>1.63</v>
      </c>
      <c r="K24" s="19">
        <v>1.63</v>
      </c>
      <c r="L24" s="20">
        <f t="shared" si="1"/>
        <v>1.73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30" customHeight="1" x14ac:dyDescent="0.25">
      <c r="A25" s="21"/>
      <c r="B25" s="7">
        <v>11</v>
      </c>
      <c r="C25" s="51" t="s">
        <v>35</v>
      </c>
      <c r="D25" s="51"/>
      <c r="E25" s="7" t="s">
        <v>36</v>
      </c>
      <c r="F25" s="8" t="s">
        <v>80</v>
      </c>
      <c r="G25" s="52" t="s">
        <v>38</v>
      </c>
      <c r="H25" s="52"/>
      <c r="I25" s="19">
        <v>1.91</v>
      </c>
      <c r="J25" s="19">
        <v>1.91</v>
      </c>
      <c r="K25" s="19">
        <v>1.91</v>
      </c>
      <c r="L25" s="20">
        <f t="shared" si="1"/>
        <v>2.0099999999999998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30" customHeight="1" x14ac:dyDescent="0.25">
      <c r="A26" s="21"/>
      <c r="B26" s="7">
        <v>12</v>
      </c>
      <c r="C26" s="51" t="s">
        <v>35</v>
      </c>
      <c r="D26" s="51"/>
      <c r="E26" s="7" t="s">
        <v>36</v>
      </c>
      <c r="F26" s="8" t="s">
        <v>81</v>
      </c>
      <c r="G26" s="52" t="s">
        <v>38</v>
      </c>
      <c r="H26" s="52"/>
      <c r="I26" s="19">
        <v>1.8</v>
      </c>
      <c r="J26" s="19">
        <v>1.8</v>
      </c>
      <c r="K26" s="19">
        <v>1.8</v>
      </c>
      <c r="L26" s="20">
        <f t="shared" si="1"/>
        <v>1.9000000000000001</v>
      </c>
      <c r="M26" s="9" t="s">
        <v>37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30" customHeight="1" x14ac:dyDescent="0.25">
      <c r="A27" s="21"/>
      <c r="B27" s="7">
        <v>13</v>
      </c>
      <c r="C27" s="51" t="s">
        <v>35</v>
      </c>
      <c r="D27" s="51"/>
      <c r="E27" s="7" t="s">
        <v>36</v>
      </c>
      <c r="F27" s="8" t="s">
        <v>83</v>
      </c>
      <c r="G27" s="52" t="s">
        <v>38</v>
      </c>
      <c r="H27" s="52"/>
      <c r="I27" s="19">
        <v>1.62</v>
      </c>
      <c r="J27" s="19">
        <v>1.62</v>
      </c>
      <c r="K27" s="19">
        <v>1.62</v>
      </c>
      <c r="L27" s="20">
        <f t="shared" si="1"/>
        <v>1.7200000000000002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30" customHeight="1" x14ac:dyDescent="0.25">
      <c r="A28" s="21"/>
      <c r="B28" s="7">
        <v>14</v>
      </c>
      <c r="C28" s="51" t="s">
        <v>35</v>
      </c>
      <c r="D28" s="51"/>
      <c r="E28" s="7" t="s">
        <v>36</v>
      </c>
      <c r="F28" s="8" t="s">
        <v>124</v>
      </c>
      <c r="G28" s="52" t="s">
        <v>38</v>
      </c>
      <c r="H28" s="52"/>
      <c r="I28" s="19">
        <v>1.84</v>
      </c>
      <c r="J28" s="19">
        <v>1.84</v>
      </c>
      <c r="K28" s="19">
        <v>1.84</v>
      </c>
      <c r="L28" s="20" t="s">
        <v>125</v>
      </c>
      <c r="M28" s="9" t="s">
        <v>125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30" customHeight="1" x14ac:dyDescent="0.25">
      <c r="A29" s="21"/>
      <c r="B29" s="7">
        <v>15</v>
      </c>
      <c r="C29" s="51" t="s">
        <v>90</v>
      </c>
      <c r="D29" s="51"/>
      <c r="E29" s="7" t="s">
        <v>132</v>
      </c>
      <c r="F29" s="8" t="s">
        <v>91</v>
      </c>
      <c r="G29" s="52" t="s">
        <v>38</v>
      </c>
      <c r="H29" s="52"/>
      <c r="I29" s="19">
        <v>1.22</v>
      </c>
      <c r="J29" s="19">
        <v>1.22</v>
      </c>
      <c r="K29" s="19">
        <v>1.22</v>
      </c>
      <c r="L29" s="20">
        <f t="shared" ref="L29:L31" si="2">K29+0.1</f>
        <v>1.32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ht="30" customHeight="1" x14ac:dyDescent="0.25">
      <c r="A30" s="21"/>
      <c r="B30" s="7">
        <v>16</v>
      </c>
      <c r="C30" s="51" t="s">
        <v>90</v>
      </c>
      <c r="D30" s="51"/>
      <c r="E30" s="7" t="s">
        <v>132</v>
      </c>
      <c r="F30" s="8" t="s">
        <v>115</v>
      </c>
      <c r="G30" s="52" t="s">
        <v>38</v>
      </c>
      <c r="H30" s="52"/>
      <c r="I30" s="19">
        <v>1.3</v>
      </c>
      <c r="J30" s="19">
        <v>1.3</v>
      </c>
      <c r="K30" s="19">
        <v>1.3</v>
      </c>
      <c r="L30" s="20">
        <f t="shared" si="2"/>
        <v>1.4000000000000001</v>
      </c>
      <c r="M30" s="9" t="s">
        <v>37</v>
      </c>
      <c r="N30" s="10" t="s">
        <v>55</v>
      </c>
      <c r="O30" s="10" t="s">
        <v>64</v>
      </c>
      <c r="P30" s="11" t="s">
        <v>44</v>
      </c>
      <c r="Q30" s="8"/>
      <c r="R30" s="22"/>
    </row>
    <row r="31" spans="1:18" ht="30" customHeight="1" x14ac:dyDescent="0.25">
      <c r="A31" s="21"/>
      <c r="B31" s="7">
        <v>17</v>
      </c>
      <c r="C31" s="51" t="s">
        <v>90</v>
      </c>
      <c r="D31" s="51"/>
      <c r="E31" s="7" t="s">
        <v>132</v>
      </c>
      <c r="F31" s="8" t="s">
        <v>114</v>
      </c>
      <c r="G31" s="52" t="s">
        <v>38</v>
      </c>
      <c r="H31" s="52"/>
      <c r="I31" s="19">
        <v>1.78</v>
      </c>
      <c r="J31" s="19">
        <v>1.78</v>
      </c>
      <c r="K31" s="19">
        <v>1.78</v>
      </c>
      <c r="L31" s="20">
        <f t="shared" si="2"/>
        <v>1.8800000000000001</v>
      </c>
      <c r="M31" s="9" t="s">
        <v>37</v>
      </c>
      <c r="N31" s="10" t="s">
        <v>55</v>
      </c>
      <c r="O31" s="10" t="s">
        <v>64</v>
      </c>
      <c r="P31" s="11" t="s">
        <v>44</v>
      </c>
      <c r="Q31" s="8"/>
      <c r="R31" s="22"/>
    </row>
    <row r="32" spans="1:18" x14ac:dyDescent="0.25">
      <c r="A32" s="21"/>
      <c r="B32" s="53" t="s">
        <v>39</v>
      </c>
      <c r="C32" s="5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2"/>
    </row>
    <row r="33" spans="1:18" x14ac:dyDescent="0.25">
      <c r="A33" s="21"/>
      <c r="C33" t="s">
        <v>133</v>
      </c>
      <c r="R33" s="22"/>
    </row>
    <row r="34" spans="1:18" x14ac:dyDescent="0.25">
      <c r="A34" s="21"/>
      <c r="C34" t="s">
        <v>89</v>
      </c>
      <c r="R34" s="22"/>
    </row>
    <row r="35" spans="1:18" x14ac:dyDescent="0.25">
      <c r="A35" s="21"/>
      <c r="C35" t="s">
        <v>93</v>
      </c>
      <c r="R35" s="22"/>
    </row>
    <row r="36" spans="1:18" x14ac:dyDescent="0.25">
      <c r="A36" s="21"/>
      <c r="C36" t="s">
        <v>113</v>
      </c>
      <c r="R36" s="22"/>
    </row>
    <row r="37" spans="1:18" x14ac:dyDescent="0.25">
      <c r="A37" s="21"/>
      <c r="C37" t="s">
        <v>95</v>
      </c>
      <c r="R37" s="22"/>
    </row>
    <row r="38" spans="1:18" x14ac:dyDescent="0.25">
      <c r="A38" s="21"/>
      <c r="C38" t="s">
        <v>96</v>
      </c>
      <c r="R38" s="22"/>
    </row>
    <row r="39" spans="1:18" x14ac:dyDescent="0.25">
      <c r="A39" s="21"/>
      <c r="C39" t="s">
        <v>107</v>
      </c>
      <c r="R39" s="22"/>
    </row>
    <row r="40" spans="1:18" x14ac:dyDescent="0.25">
      <c r="A40" s="21"/>
      <c r="C40" t="s">
        <v>108</v>
      </c>
      <c r="R40" s="22"/>
    </row>
    <row r="41" spans="1:18" x14ac:dyDescent="0.25">
      <c r="A41" s="21"/>
      <c r="C41" t="s">
        <v>98</v>
      </c>
      <c r="R41" s="22"/>
    </row>
    <row r="42" spans="1:18" x14ac:dyDescent="0.25">
      <c r="A42" s="21"/>
      <c r="C42" s="45" t="s">
        <v>106</v>
      </c>
      <c r="R42" s="22"/>
    </row>
    <row r="43" spans="1:18" x14ac:dyDescent="0.25">
      <c r="A43" s="34"/>
      <c r="B43" s="13"/>
      <c r="C43" s="13" t="s">
        <v>105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35"/>
    </row>
    <row r="44" spans="1:18" x14ac:dyDescent="0.25">
      <c r="A44" s="21"/>
      <c r="C44" t="s">
        <v>40</v>
      </c>
      <c r="F44" t="s">
        <v>41</v>
      </c>
      <c r="I44" t="s">
        <v>42</v>
      </c>
      <c r="M44" t="s">
        <v>43</v>
      </c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ht="15.75" thickBot="1" x14ac:dyDescent="0.3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</row>
  </sheetData>
  <mergeCells count="50">
    <mergeCell ref="M8:N8"/>
    <mergeCell ref="M11:N11"/>
    <mergeCell ref="N13:O13"/>
    <mergeCell ref="P13:P14"/>
    <mergeCell ref="Q13:Q14"/>
    <mergeCell ref="I13:M13"/>
    <mergeCell ref="B13:B14"/>
    <mergeCell ref="C13:D14"/>
    <mergeCell ref="E13:E14"/>
    <mergeCell ref="F13:F14"/>
    <mergeCell ref="G13:H14"/>
    <mergeCell ref="C23:D23"/>
    <mergeCell ref="G23:H23"/>
    <mergeCell ref="C24:D24"/>
    <mergeCell ref="G24:H24"/>
    <mergeCell ref="C15:D15"/>
    <mergeCell ref="G15:H15"/>
    <mergeCell ref="G20:H20"/>
    <mergeCell ref="C21:D21"/>
    <mergeCell ref="G21:H21"/>
    <mergeCell ref="C22:D22"/>
    <mergeCell ref="G22:H22"/>
    <mergeCell ref="C31:D31"/>
    <mergeCell ref="G31:H31"/>
    <mergeCell ref="B32:C32"/>
    <mergeCell ref="A1:R1"/>
    <mergeCell ref="A2:R2"/>
    <mergeCell ref="A3:R3"/>
    <mergeCell ref="A4:R4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C28:D28"/>
    <mergeCell ref="G28:H28"/>
    <mergeCell ref="C29:D29"/>
    <mergeCell ref="G29:H29"/>
    <mergeCell ref="C30:D30"/>
    <mergeCell ref="G30:H30"/>
    <mergeCell ref="C25:D25"/>
    <mergeCell ref="G25:H25"/>
    <mergeCell ref="C26:D26"/>
    <mergeCell ref="G26:H26"/>
    <mergeCell ref="C27:D27"/>
    <mergeCell ref="G27:H27"/>
  </mergeCells>
  <pageMargins left="0.36" right="0.17" top="0.24" bottom="0.24" header="0.17" footer="0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AE13-EF08-46D1-B6CE-B7563970D7B5}">
  <sheetPr>
    <pageSetUpPr fitToPage="1"/>
  </sheetPr>
  <dimension ref="A1:R51"/>
  <sheetViews>
    <sheetView zoomScale="85" zoomScaleNormal="85" workbookViewId="0">
      <selection activeCell="G16" sqref="G16:H16"/>
    </sheetView>
  </sheetViews>
  <sheetFormatPr defaultRowHeight="15" x14ac:dyDescent="0.25"/>
  <cols>
    <col min="1" max="1" width="6.85546875" customWidth="1"/>
    <col min="2" max="2" width="4.140625" bestFit="1" customWidth="1"/>
    <col min="3" max="3" width="25.28515625" customWidth="1"/>
    <col min="4" max="4" width="1.7109375" customWidth="1"/>
    <col min="5" max="5" width="24.140625" customWidth="1"/>
    <col min="6" max="6" width="44.7109375" customWidth="1"/>
    <col min="7" max="7" width="5" customWidth="1"/>
    <col min="8" max="8" width="17.5703125" customWidth="1"/>
    <col min="9" max="12" width="10.7109375" customWidth="1"/>
    <col min="13" max="13" width="16.140625" customWidth="1"/>
    <col min="14" max="14" width="11" customWidth="1"/>
    <col min="15" max="15" width="13" customWidth="1"/>
    <col min="16" max="16" width="10.140625" customWidth="1"/>
    <col min="17" max="17" width="12.85546875" customWidth="1"/>
    <col min="18" max="18" width="7.85546875" customWidth="1"/>
  </cols>
  <sheetData>
    <row r="1" spans="1:18" s="33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ht="15.75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1:18" ht="15.75" x14ac:dyDescent="0.25">
      <c r="A3" s="60" t="s">
        <v>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s="15" customFormat="1" ht="16.5" thickBot="1" x14ac:dyDescent="0.3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ht="9" customHeight="1" thickTop="1" x14ac:dyDescent="0.25">
      <c r="A5" s="21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149</v>
      </c>
      <c r="H6" s="6" t="s">
        <v>6</v>
      </c>
      <c r="J6" s="6" t="s">
        <v>129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126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hidden="1" x14ac:dyDescent="0.25">
      <c r="A9" s="23"/>
      <c r="E9" s="6" t="s">
        <v>127</v>
      </c>
      <c r="K9" s="36"/>
      <c r="M9" s="37"/>
      <c r="N9" s="37"/>
      <c r="R9" s="24"/>
    </row>
    <row r="10" spans="1:18" s="6" customFormat="1" ht="15.75" hidden="1" x14ac:dyDescent="0.25">
      <c r="A10" s="23"/>
      <c r="E10" s="6" t="s">
        <v>128</v>
      </c>
      <c r="K10" s="36"/>
      <c r="M10" s="37"/>
      <c r="N10" s="37"/>
      <c r="R10" s="24"/>
    </row>
    <row r="11" spans="1:18" s="6" customFormat="1" ht="15.75" x14ac:dyDescent="0.25">
      <c r="A11" s="23"/>
      <c r="C11" s="6" t="s">
        <v>16</v>
      </c>
      <c r="D11" s="6" t="s">
        <v>5</v>
      </c>
      <c r="E11" s="6" t="s">
        <v>136</v>
      </c>
      <c r="H11" s="6" t="s">
        <v>17</v>
      </c>
      <c r="J11" s="6" t="s">
        <v>130</v>
      </c>
      <c r="K11" s="36"/>
      <c r="M11" s="56" t="s">
        <v>19</v>
      </c>
      <c r="N11" s="56"/>
      <c r="O11" s="6" t="s">
        <v>20</v>
      </c>
      <c r="R11" s="24"/>
    </row>
    <row r="12" spans="1:18" s="6" customFormat="1" ht="6.75" customHeight="1" x14ac:dyDescent="0.25">
      <c r="A12" s="23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24"/>
    </row>
    <row r="13" spans="1:18" s="14" customFormat="1" ht="15.75" x14ac:dyDescent="0.25">
      <c r="A13" s="25"/>
      <c r="B13" s="55" t="s">
        <v>21</v>
      </c>
      <c r="C13" s="55" t="s">
        <v>22</v>
      </c>
      <c r="D13" s="55"/>
      <c r="E13" s="55" t="s">
        <v>23</v>
      </c>
      <c r="F13" s="66" t="s">
        <v>24</v>
      </c>
      <c r="G13" s="55" t="s">
        <v>25</v>
      </c>
      <c r="H13" s="55"/>
      <c r="I13" s="55" t="s">
        <v>92</v>
      </c>
      <c r="J13" s="55"/>
      <c r="K13" s="55"/>
      <c r="L13" s="55"/>
      <c r="M13" s="55"/>
      <c r="N13" s="55" t="s">
        <v>26</v>
      </c>
      <c r="O13" s="55"/>
      <c r="P13" s="55" t="s">
        <v>88</v>
      </c>
      <c r="Q13" s="55" t="s">
        <v>27</v>
      </c>
      <c r="R13" s="26"/>
    </row>
    <row r="14" spans="1:18" s="14" customFormat="1" ht="27.75" customHeight="1" x14ac:dyDescent="0.25">
      <c r="A14" s="25"/>
      <c r="B14" s="55"/>
      <c r="C14" s="55"/>
      <c r="D14" s="55"/>
      <c r="E14" s="55"/>
      <c r="F14" s="66"/>
      <c r="G14" s="55"/>
      <c r="H14" s="55"/>
      <c r="I14" s="17" t="s">
        <v>28</v>
      </c>
      <c r="J14" s="17" t="s">
        <v>29</v>
      </c>
      <c r="K14" s="17" t="s">
        <v>30</v>
      </c>
      <c r="L14" s="17" t="s">
        <v>31</v>
      </c>
      <c r="M14" s="18" t="s">
        <v>32</v>
      </c>
      <c r="N14" s="17" t="s">
        <v>33</v>
      </c>
      <c r="O14" s="17" t="s">
        <v>34</v>
      </c>
      <c r="P14" s="55"/>
      <c r="Q14" s="55"/>
      <c r="R14" s="26"/>
    </row>
    <row r="15" spans="1:18" s="5" customFormat="1" ht="29.25" customHeight="1" x14ac:dyDescent="0.25">
      <c r="A15" s="27"/>
      <c r="B15" s="7">
        <v>1</v>
      </c>
      <c r="C15" s="51" t="s">
        <v>35</v>
      </c>
      <c r="D15" s="51"/>
      <c r="E15" s="7" t="s">
        <v>36</v>
      </c>
      <c r="F15" s="8" t="s">
        <v>51</v>
      </c>
      <c r="G15" s="52" t="s">
        <v>38</v>
      </c>
      <c r="H15" s="52"/>
      <c r="I15" s="19">
        <v>1.1200000000000001</v>
      </c>
      <c r="J15" s="19">
        <f t="shared" ref="J15:K20" si="0">I15+0.03</f>
        <v>1.1500000000000001</v>
      </c>
      <c r="K15" s="19">
        <f t="shared" si="0"/>
        <v>1.1800000000000002</v>
      </c>
      <c r="L15" s="20">
        <f t="shared" ref="L15:L27" si="1">K15+0.1</f>
        <v>1.2800000000000002</v>
      </c>
      <c r="M15" s="9" t="s">
        <v>37</v>
      </c>
      <c r="N15" s="10" t="s">
        <v>55</v>
      </c>
      <c r="O15" s="10" t="s">
        <v>64</v>
      </c>
      <c r="P15" s="11" t="s">
        <v>44</v>
      </c>
      <c r="Q15" s="8"/>
      <c r="R15" s="28"/>
    </row>
    <row r="16" spans="1:18" ht="29.25" customHeight="1" x14ac:dyDescent="0.25">
      <c r="A16" s="21"/>
      <c r="B16" s="7">
        <v>2</v>
      </c>
      <c r="C16" s="51" t="s">
        <v>35</v>
      </c>
      <c r="D16" s="51"/>
      <c r="E16" s="7" t="s">
        <v>36</v>
      </c>
      <c r="F16" s="8" t="s">
        <v>86</v>
      </c>
      <c r="G16" s="52" t="s">
        <v>38</v>
      </c>
      <c r="H16" s="52"/>
      <c r="I16" s="19">
        <v>1.32</v>
      </c>
      <c r="J16" s="19">
        <f t="shared" si="0"/>
        <v>1.35</v>
      </c>
      <c r="K16" s="19">
        <f t="shared" si="0"/>
        <v>1.3800000000000001</v>
      </c>
      <c r="L16" s="20">
        <f t="shared" si="1"/>
        <v>1.4800000000000002</v>
      </c>
      <c r="M16" s="9" t="s">
        <v>37</v>
      </c>
      <c r="N16" s="10" t="s">
        <v>55</v>
      </c>
      <c r="O16" s="10" t="s">
        <v>64</v>
      </c>
      <c r="P16" s="11" t="s">
        <v>44</v>
      </c>
      <c r="Q16" s="8"/>
      <c r="R16" s="22"/>
    </row>
    <row r="17" spans="1:18" ht="29.25" customHeight="1" x14ac:dyDescent="0.25">
      <c r="A17" s="21"/>
      <c r="B17" s="7">
        <v>3</v>
      </c>
      <c r="C17" s="51" t="s">
        <v>35</v>
      </c>
      <c r="D17" s="51"/>
      <c r="E17" s="7" t="s">
        <v>36</v>
      </c>
      <c r="F17" s="8" t="s">
        <v>73</v>
      </c>
      <c r="G17" s="52" t="s">
        <v>38</v>
      </c>
      <c r="H17" s="52"/>
      <c r="I17" s="19">
        <v>1.1499999999999999</v>
      </c>
      <c r="J17" s="19">
        <f t="shared" si="0"/>
        <v>1.18</v>
      </c>
      <c r="K17" s="19">
        <f>J17+0.03</f>
        <v>1.21</v>
      </c>
      <c r="L17" s="20">
        <f t="shared" si="1"/>
        <v>1.31</v>
      </c>
      <c r="M17" s="9" t="s">
        <v>37</v>
      </c>
      <c r="N17" s="10" t="s">
        <v>55</v>
      </c>
      <c r="O17" s="10" t="s">
        <v>64</v>
      </c>
      <c r="P17" s="7">
        <v>13</v>
      </c>
      <c r="Q17" s="8"/>
      <c r="R17" s="22"/>
    </row>
    <row r="18" spans="1:18" ht="29.25" customHeight="1" x14ac:dyDescent="0.25">
      <c r="A18" s="21"/>
      <c r="B18" s="7">
        <v>4</v>
      </c>
      <c r="C18" s="51" t="s">
        <v>35</v>
      </c>
      <c r="D18" s="51"/>
      <c r="E18" s="7" t="s">
        <v>36</v>
      </c>
      <c r="F18" s="8" t="s">
        <v>87</v>
      </c>
      <c r="G18" s="52" t="s">
        <v>38</v>
      </c>
      <c r="H18" s="52"/>
      <c r="I18" s="19">
        <v>1.35</v>
      </c>
      <c r="J18" s="19">
        <f t="shared" si="0"/>
        <v>1.3800000000000001</v>
      </c>
      <c r="K18" s="19">
        <f>J18+0.03</f>
        <v>1.4100000000000001</v>
      </c>
      <c r="L18" s="20">
        <f t="shared" si="1"/>
        <v>1.5100000000000002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29.25" customHeight="1" x14ac:dyDescent="0.25">
      <c r="A19" s="21"/>
      <c r="B19" s="7">
        <v>5</v>
      </c>
      <c r="C19" s="51" t="s">
        <v>35</v>
      </c>
      <c r="D19" s="51"/>
      <c r="E19" s="7" t="s">
        <v>36</v>
      </c>
      <c r="F19" s="8" t="s">
        <v>70</v>
      </c>
      <c r="G19" s="52" t="s">
        <v>38</v>
      </c>
      <c r="H19" s="52"/>
      <c r="I19" s="19">
        <v>1.1200000000000001</v>
      </c>
      <c r="J19" s="19">
        <f t="shared" si="0"/>
        <v>1.1500000000000001</v>
      </c>
      <c r="K19" s="19">
        <f>J19+0.03</f>
        <v>1.1800000000000002</v>
      </c>
      <c r="L19" s="20">
        <f t="shared" si="1"/>
        <v>1.2800000000000002</v>
      </c>
      <c r="M19" s="9" t="s">
        <v>37</v>
      </c>
      <c r="N19" s="10" t="s">
        <v>55</v>
      </c>
      <c r="O19" s="10" t="s">
        <v>64</v>
      </c>
      <c r="P19" s="11" t="s">
        <v>44</v>
      </c>
      <c r="Q19" s="8"/>
      <c r="R19" s="22"/>
    </row>
    <row r="20" spans="1:18" ht="29.25" customHeight="1" x14ac:dyDescent="0.25">
      <c r="A20" s="21"/>
      <c r="B20" s="7">
        <v>6</v>
      </c>
      <c r="C20" s="51" t="s">
        <v>35</v>
      </c>
      <c r="D20" s="51"/>
      <c r="E20" s="7" t="s">
        <v>36</v>
      </c>
      <c r="F20" s="8" t="s">
        <v>68</v>
      </c>
      <c r="G20" s="52" t="s">
        <v>38</v>
      </c>
      <c r="H20" s="52"/>
      <c r="I20" s="19">
        <v>1.1499999999999999</v>
      </c>
      <c r="J20" s="19">
        <f t="shared" si="0"/>
        <v>1.18</v>
      </c>
      <c r="K20" s="19">
        <f t="shared" si="0"/>
        <v>1.21</v>
      </c>
      <c r="L20" s="20">
        <f t="shared" si="1"/>
        <v>1.31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29.25" customHeight="1" x14ac:dyDescent="0.25">
      <c r="A21" s="21"/>
      <c r="B21" s="7">
        <v>7</v>
      </c>
      <c r="C21" s="51" t="s">
        <v>35</v>
      </c>
      <c r="D21" s="51"/>
      <c r="E21" s="7" t="s">
        <v>36</v>
      </c>
      <c r="F21" s="8" t="s">
        <v>69</v>
      </c>
      <c r="G21" s="52" t="s">
        <v>38</v>
      </c>
      <c r="H21" s="52"/>
      <c r="I21" s="19">
        <v>1.37</v>
      </c>
      <c r="J21" s="19">
        <f>I21+0.03</f>
        <v>1.4000000000000001</v>
      </c>
      <c r="K21" s="19">
        <f>J21+0.03</f>
        <v>1.4300000000000002</v>
      </c>
      <c r="L21" s="20">
        <f>K21+0.1</f>
        <v>1.5300000000000002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8"/>
      <c r="R21" s="22"/>
    </row>
    <row r="22" spans="1:18" ht="29.25" customHeight="1" x14ac:dyDescent="0.25">
      <c r="A22" s="21"/>
      <c r="B22" s="7">
        <v>8</v>
      </c>
      <c r="C22" s="51" t="s">
        <v>35</v>
      </c>
      <c r="D22" s="51"/>
      <c r="E22" s="7" t="s">
        <v>36</v>
      </c>
      <c r="F22" s="8" t="s">
        <v>63</v>
      </c>
      <c r="G22" s="52" t="s">
        <v>38</v>
      </c>
      <c r="H22" s="52"/>
      <c r="I22" s="19">
        <v>1.5</v>
      </c>
      <c r="J22" s="19">
        <v>1.5</v>
      </c>
      <c r="K22" s="19">
        <v>1.5</v>
      </c>
      <c r="L22" s="20">
        <f>K22+0.1</f>
        <v>1.6</v>
      </c>
      <c r="M22" s="9" t="s">
        <v>37</v>
      </c>
      <c r="N22" s="10" t="s">
        <v>55</v>
      </c>
      <c r="O22" s="10" t="s">
        <v>64</v>
      </c>
      <c r="P22" s="7">
        <v>13</v>
      </c>
      <c r="Q22" s="8"/>
      <c r="R22" s="22"/>
    </row>
    <row r="23" spans="1:18" ht="29.25" customHeight="1" x14ac:dyDescent="0.25">
      <c r="A23" s="21"/>
      <c r="B23" s="7">
        <v>9</v>
      </c>
      <c r="C23" s="51" t="s">
        <v>35</v>
      </c>
      <c r="D23" s="51"/>
      <c r="E23" s="7" t="s">
        <v>36</v>
      </c>
      <c r="F23" s="8" t="s">
        <v>74</v>
      </c>
      <c r="G23" s="52" t="s">
        <v>38</v>
      </c>
      <c r="H23" s="52"/>
      <c r="I23" s="19">
        <v>1.6</v>
      </c>
      <c r="J23" s="19">
        <v>1.6</v>
      </c>
      <c r="K23" s="20">
        <v>1.6</v>
      </c>
      <c r="L23" s="20">
        <f t="shared" si="1"/>
        <v>1.7000000000000002</v>
      </c>
      <c r="M23" s="9" t="s">
        <v>37</v>
      </c>
      <c r="N23" s="10" t="s">
        <v>55</v>
      </c>
      <c r="O23" s="10" t="s">
        <v>64</v>
      </c>
      <c r="P23" s="7">
        <v>13</v>
      </c>
      <c r="Q23" s="7"/>
      <c r="R23" s="22"/>
    </row>
    <row r="24" spans="1:18" ht="29.25" customHeight="1" x14ac:dyDescent="0.25">
      <c r="A24" s="21"/>
      <c r="B24" s="7">
        <v>10</v>
      </c>
      <c r="C24" s="51" t="s">
        <v>35</v>
      </c>
      <c r="D24" s="51"/>
      <c r="E24" s="8" t="s">
        <v>65</v>
      </c>
      <c r="F24" s="8" t="s">
        <v>66</v>
      </c>
      <c r="G24" s="52" t="s">
        <v>38</v>
      </c>
      <c r="H24" s="52"/>
      <c r="I24" s="19">
        <v>1.63</v>
      </c>
      <c r="J24" s="19">
        <v>1.63</v>
      </c>
      <c r="K24" s="19">
        <v>1.63</v>
      </c>
      <c r="L24" s="20">
        <f t="shared" si="1"/>
        <v>1.73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29.25" customHeight="1" x14ac:dyDescent="0.25">
      <c r="A25" s="21"/>
      <c r="B25" s="7">
        <v>11</v>
      </c>
      <c r="C25" s="51" t="s">
        <v>35</v>
      </c>
      <c r="D25" s="51"/>
      <c r="E25" s="7" t="s">
        <v>36</v>
      </c>
      <c r="F25" s="8" t="s">
        <v>80</v>
      </c>
      <c r="G25" s="52" t="s">
        <v>38</v>
      </c>
      <c r="H25" s="52"/>
      <c r="I25" s="19">
        <v>1.91</v>
      </c>
      <c r="J25" s="19">
        <v>1.91</v>
      </c>
      <c r="K25" s="19">
        <v>1.91</v>
      </c>
      <c r="L25" s="20">
        <f t="shared" si="1"/>
        <v>2.0099999999999998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29.25" customHeight="1" x14ac:dyDescent="0.25">
      <c r="A26" s="21"/>
      <c r="B26" s="7">
        <v>12</v>
      </c>
      <c r="C26" s="51" t="s">
        <v>35</v>
      </c>
      <c r="D26" s="51"/>
      <c r="E26" s="7" t="s">
        <v>36</v>
      </c>
      <c r="F26" s="8" t="s">
        <v>81</v>
      </c>
      <c r="G26" s="52" t="s">
        <v>38</v>
      </c>
      <c r="H26" s="52"/>
      <c r="I26" s="19">
        <v>1.8</v>
      </c>
      <c r="J26" s="19">
        <v>1.8</v>
      </c>
      <c r="K26" s="19">
        <v>1.8</v>
      </c>
      <c r="L26" s="20">
        <f t="shared" si="1"/>
        <v>1.9000000000000001</v>
      </c>
      <c r="M26" s="9" t="s">
        <v>37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29.25" customHeight="1" x14ac:dyDescent="0.25">
      <c r="A27" s="21"/>
      <c r="B27" s="7">
        <v>13</v>
      </c>
      <c r="C27" s="51" t="s">
        <v>35</v>
      </c>
      <c r="D27" s="51"/>
      <c r="E27" s="7" t="s">
        <v>36</v>
      </c>
      <c r="F27" s="8" t="s">
        <v>83</v>
      </c>
      <c r="G27" s="52" t="s">
        <v>38</v>
      </c>
      <c r="H27" s="52"/>
      <c r="I27" s="19">
        <v>1.62</v>
      </c>
      <c r="J27" s="19">
        <v>1.62</v>
      </c>
      <c r="K27" s="19">
        <v>1.62</v>
      </c>
      <c r="L27" s="20">
        <f t="shared" si="1"/>
        <v>1.7200000000000002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29.25" customHeight="1" x14ac:dyDescent="0.25">
      <c r="A28" s="21"/>
      <c r="B28" s="7">
        <v>14</v>
      </c>
      <c r="C28" s="51" t="s">
        <v>35</v>
      </c>
      <c r="D28" s="51"/>
      <c r="E28" s="7" t="s">
        <v>36</v>
      </c>
      <c r="F28" s="8" t="s">
        <v>124</v>
      </c>
      <c r="G28" s="52" t="s">
        <v>38</v>
      </c>
      <c r="H28" s="52"/>
      <c r="I28" s="19">
        <v>1.84</v>
      </c>
      <c r="J28" s="19">
        <v>1.84</v>
      </c>
      <c r="K28" s="19">
        <v>1.84</v>
      </c>
      <c r="L28" s="20" t="s">
        <v>125</v>
      </c>
      <c r="M28" s="9" t="s">
        <v>125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29.25" customHeight="1" x14ac:dyDescent="0.25">
      <c r="A29" s="21"/>
      <c r="B29" s="7">
        <v>15</v>
      </c>
      <c r="C29" s="51" t="s">
        <v>90</v>
      </c>
      <c r="D29" s="51"/>
      <c r="E29" s="7" t="s">
        <v>132</v>
      </c>
      <c r="F29" s="8" t="s">
        <v>91</v>
      </c>
      <c r="G29" s="52" t="s">
        <v>38</v>
      </c>
      <c r="H29" s="52"/>
      <c r="I29" s="19">
        <v>1.22</v>
      </c>
      <c r="J29" s="19">
        <v>1.22</v>
      </c>
      <c r="K29" s="19">
        <v>1.22</v>
      </c>
      <c r="L29" s="20">
        <f t="shared" ref="L29:L31" si="2">K29+0.1</f>
        <v>1.32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ht="29.25" customHeight="1" x14ac:dyDescent="0.25">
      <c r="A30" s="21"/>
      <c r="B30" s="7">
        <v>16</v>
      </c>
      <c r="C30" s="51" t="s">
        <v>90</v>
      </c>
      <c r="D30" s="51"/>
      <c r="E30" s="7" t="s">
        <v>132</v>
      </c>
      <c r="F30" s="8" t="s">
        <v>115</v>
      </c>
      <c r="G30" s="52" t="s">
        <v>38</v>
      </c>
      <c r="H30" s="52"/>
      <c r="I30" s="19">
        <v>1.3</v>
      </c>
      <c r="J30" s="19">
        <v>1.3</v>
      </c>
      <c r="K30" s="19">
        <v>1.3</v>
      </c>
      <c r="L30" s="20">
        <f t="shared" si="2"/>
        <v>1.4000000000000001</v>
      </c>
      <c r="M30" s="9" t="s">
        <v>37</v>
      </c>
      <c r="N30" s="10" t="s">
        <v>55</v>
      </c>
      <c r="O30" s="10" t="s">
        <v>64</v>
      </c>
      <c r="P30" s="11" t="s">
        <v>44</v>
      </c>
      <c r="Q30" s="8"/>
      <c r="R30" s="22"/>
    </row>
    <row r="31" spans="1:18" ht="29.25" customHeight="1" x14ac:dyDescent="0.25">
      <c r="A31" s="21"/>
      <c r="B31" s="7">
        <v>17</v>
      </c>
      <c r="C31" s="51" t="s">
        <v>90</v>
      </c>
      <c r="D31" s="51"/>
      <c r="E31" s="7" t="s">
        <v>132</v>
      </c>
      <c r="F31" s="8" t="s">
        <v>114</v>
      </c>
      <c r="G31" s="52" t="s">
        <v>38</v>
      </c>
      <c r="H31" s="52"/>
      <c r="I31" s="19">
        <v>1.78</v>
      </c>
      <c r="J31" s="19">
        <v>1.78</v>
      </c>
      <c r="K31" s="19">
        <v>1.78</v>
      </c>
      <c r="L31" s="20">
        <f t="shared" si="2"/>
        <v>1.8800000000000001</v>
      </c>
      <c r="M31" s="9" t="s">
        <v>37</v>
      </c>
      <c r="N31" s="10" t="s">
        <v>55</v>
      </c>
      <c r="O31" s="10" t="s">
        <v>64</v>
      </c>
      <c r="P31" s="11" t="s">
        <v>44</v>
      </c>
      <c r="Q31" s="8"/>
      <c r="R31" s="22"/>
    </row>
    <row r="32" spans="1:18" x14ac:dyDescent="0.25">
      <c r="A32" s="21"/>
      <c r="B32" s="53" t="s">
        <v>39</v>
      </c>
      <c r="C32" s="5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2"/>
    </row>
    <row r="33" spans="1:18" x14ac:dyDescent="0.25">
      <c r="A33" s="21"/>
      <c r="C33" t="s">
        <v>133</v>
      </c>
      <c r="R33" s="22"/>
    </row>
    <row r="34" spans="1:18" x14ac:dyDescent="0.25">
      <c r="A34" s="21"/>
      <c r="C34" t="s">
        <v>89</v>
      </c>
      <c r="R34" s="22"/>
    </row>
    <row r="35" spans="1:18" x14ac:dyDescent="0.25">
      <c r="A35" s="21"/>
      <c r="C35" t="s">
        <v>93</v>
      </c>
      <c r="R35" s="22"/>
    </row>
    <row r="36" spans="1:18" x14ac:dyDescent="0.25">
      <c r="A36" s="21"/>
      <c r="C36" t="s">
        <v>113</v>
      </c>
      <c r="R36" s="22"/>
    </row>
    <row r="37" spans="1:18" x14ac:dyDescent="0.25">
      <c r="A37" s="21"/>
      <c r="C37" t="s">
        <v>95</v>
      </c>
      <c r="R37" s="22"/>
    </row>
    <row r="38" spans="1:18" x14ac:dyDescent="0.25">
      <c r="A38" s="21"/>
      <c r="C38" t="s">
        <v>96</v>
      </c>
      <c r="R38" s="22"/>
    </row>
    <row r="39" spans="1:18" x14ac:dyDescent="0.25">
      <c r="A39" s="21"/>
      <c r="C39" t="s">
        <v>107</v>
      </c>
      <c r="R39" s="22"/>
    </row>
    <row r="40" spans="1:18" x14ac:dyDescent="0.25">
      <c r="A40" s="21"/>
      <c r="C40" t="s">
        <v>108</v>
      </c>
      <c r="R40" s="22"/>
    </row>
    <row r="41" spans="1:18" x14ac:dyDescent="0.25">
      <c r="A41" s="21"/>
      <c r="C41" t="s">
        <v>98</v>
      </c>
      <c r="R41" s="22"/>
    </row>
    <row r="42" spans="1:18" x14ac:dyDescent="0.25">
      <c r="A42" s="21"/>
      <c r="C42" s="45" t="s">
        <v>106</v>
      </c>
      <c r="R42" s="22"/>
    </row>
    <row r="43" spans="1:18" x14ac:dyDescent="0.25">
      <c r="A43" s="34"/>
      <c r="B43" s="13"/>
      <c r="C43" s="13" t="s">
        <v>105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35"/>
    </row>
    <row r="44" spans="1:18" x14ac:dyDescent="0.25">
      <c r="A44" s="21"/>
      <c r="C44" t="s">
        <v>40</v>
      </c>
      <c r="F44" t="s">
        <v>41</v>
      </c>
      <c r="I44" t="s">
        <v>42</v>
      </c>
      <c r="O44" t="s">
        <v>43</v>
      </c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x14ac:dyDescent="0.25">
      <c r="A49" s="21"/>
      <c r="R49" s="22"/>
    </row>
    <row r="50" spans="1:18" x14ac:dyDescent="0.25">
      <c r="A50" s="21"/>
      <c r="R50" s="22"/>
    </row>
    <row r="51" spans="1:18" ht="15.75" thickBot="1" x14ac:dyDescent="0.3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</row>
  </sheetData>
  <mergeCells count="50">
    <mergeCell ref="M8:N8"/>
    <mergeCell ref="M11:N11"/>
    <mergeCell ref="P13:P14"/>
    <mergeCell ref="Q13:Q14"/>
    <mergeCell ref="C15:D15"/>
    <mergeCell ref="G15:H15"/>
    <mergeCell ref="I13:M13"/>
    <mergeCell ref="B13:B14"/>
    <mergeCell ref="C13:D14"/>
    <mergeCell ref="E13:E14"/>
    <mergeCell ref="F13:F14"/>
    <mergeCell ref="G13:H14"/>
    <mergeCell ref="C23:D23"/>
    <mergeCell ref="G23:H23"/>
    <mergeCell ref="C24:D24"/>
    <mergeCell ref="G24:H24"/>
    <mergeCell ref="N13:O13"/>
    <mergeCell ref="G20:H20"/>
    <mergeCell ref="C21:D21"/>
    <mergeCell ref="G21:H21"/>
    <mergeCell ref="C22:D22"/>
    <mergeCell ref="G22:H22"/>
    <mergeCell ref="C31:D31"/>
    <mergeCell ref="G31:H31"/>
    <mergeCell ref="B32:C32"/>
    <mergeCell ref="A1:R1"/>
    <mergeCell ref="A2:R2"/>
    <mergeCell ref="A3:R3"/>
    <mergeCell ref="A4:R4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C28:D28"/>
    <mergeCell ref="G28:H28"/>
    <mergeCell ref="C29:D29"/>
    <mergeCell ref="G29:H29"/>
    <mergeCell ref="C30:D30"/>
    <mergeCell ref="G30:H30"/>
    <mergeCell ref="C25:D25"/>
    <mergeCell ref="G25:H25"/>
    <mergeCell ref="C26:D26"/>
    <mergeCell ref="G26:H26"/>
    <mergeCell ref="C27:D27"/>
    <mergeCell ref="G27:H27"/>
  </mergeCells>
  <printOptions horizontalCentered="1"/>
  <pageMargins left="0.23" right="0.17" top="0.3" bottom="0" header="0.18" footer="0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7280-2FA7-4C5F-99D6-A5FEF51F6769}">
  <sheetPr>
    <pageSetUpPr fitToPage="1"/>
  </sheetPr>
  <dimension ref="A1:R51"/>
  <sheetViews>
    <sheetView tabSelected="1" zoomScale="85" zoomScaleNormal="85" workbookViewId="0">
      <selection activeCell="F18" sqref="F18"/>
    </sheetView>
  </sheetViews>
  <sheetFormatPr defaultRowHeight="15" x14ac:dyDescent="0.25"/>
  <cols>
    <col min="1" max="1" width="6.85546875" customWidth="1"/>
    <col min="2" max="2" width="4.140625" bestFit="1" customWidth="1"/>
    <col min="3" max="3" width="25.28515625" customWidth="1"/>
    <col min="4" max="4" width="1.7109375" customWidth="1"/>
    <col min="5" max="5" width="24.140625" customWidth="1"/>
    <col min="6" max="6" width="44.7109375" customWidth="1"/>
    <col min="7" max="7" width="5" customWidth="1"/>
    <col min="8" max="8" width="17.5703125" customWidth="1"/>
    <col min="9" max="12" width="10.7109375" customWidth="1"/>
    <col min="13" max="13" width="16.140625" customWidth="1"/>
    <col min="14" max="14" width="11" customWidth="1"/>
    <col min="15" max="15" width="13" customWidth="1"/>
    <col min="16" max="16" width="10.140625" customWidth="1"/>
    <col min="17" max="17" width="12.85546875" customWidth="1"/>
    <col min="18" max="18" width="7.85546875" customWidth="1"/>
  </cols>
  <sheetData>
    <row r="1" spans="1:18" s="33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ht="15.75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1:18" ht="15.75" x14ac:dyDescent="0.25">
      <c r="A3" s="60" t="s">
        <v>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s="15" customFormat="1" ht="16.5" thickBot="1" x14ac:dyDescent="0.3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ht="9" customHeight="1" thickTop="1" x14ac:dyDescent="0.25">
      <c r="A5" s="21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156</v>
      </c>
      <c r="H6" s="6" t="s">
        <v>6</v>
      </c>
      <c r="J6" s="6" t="s">
        <v>159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157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49</v>
      </c>
      <c r="K8" s="36"/>
      <c r="M8" s="54" t="s">
        <v>15</v>
      </c>
      <c r="N8" s="54"/>
      <c r="O8" s="6" t="s">
        <v>131</v>
      </c>
      <c r="R8" s="24"/>
    </row>
    <row r="9" spans="1:18" s="6" customFormat="1" ht="15.75" hidden="1" x14ac:dyDescent="0.25">
      <c r="A9" s="23"/>
      <c r="E9" s="6" t="s">
        <v>127</v>
      </c>
      <c r="K9" s="36"/>
      <c r="M9" s="37"/>
      <c r="N9" s="37"/>
      <c r="R9" s="24"/>
    </row>
    <row r="10" spans="1:18" s="6" customFormat="1" ht="15.75" hidden="1" x14ac:dyDescent="0.25">
      <c r="A10" s="23"/>
      <c r="E10" s="6" t="s">
        <v>128</v>
      </c>
      <c r="K10" s="36"/>
      <c r="M10" s="37"/>
      <c r="N10" s="37"/>
      <c r="R10" s="24"/>
    </row>
    <row r="11" spans="1:18" s="6" customFormat="1" ht="15.75" x14ac:dyDescent="0.25">
      <c r="A11" s="23"/>
      <c r="C11" s="6" t="s">
        <v>16</v>
      </c>
      <c r="D11" s="6" t="s">
        <v>5</v>
      </c>
      <c r="E11" s="6" t="s">
        <v>158</v>
      </c>
      <c r="H11" s="6" t="s">
        <v>17</v>
      </c>
      <c r="J11" s="6" t="s">
        <v>130</v>
      </c>
      <c r="K11" s="36"/>
      <c r="M11" s="56" t="s">
        <v>19</v>
      </c>
      <c r="N11" s="56"/>
      <c r="O11" s="6" t="s">
        <v>20</v>
      </c>
      <c r="R11" s="24"/>
    </row>
    <row r="12" spans="1:18" s="6" customFormat="1" ht="6.75" customHeight="1" x14ac:dyDescent="0.25">
      <c r="A12" s="23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24"/>
    </row>
    <row r="13" spans="1:18" s="14" customFormat="1" ht="15.75" x14ac:dyDescent="0.25">
      <c r="A13" s="25"/>
      <c r="B13" s="55" t="s">
        <v>21</v>
      </c>
      <c r="C13" s="55" t="s">
        <v>22</v>
      </c>
      <c r="D13" s="55"/>
      <c r="E13" s="55" t="s">
        <v>23</v>
      </c>
      <c r="F13" s="66" t="s">
        <v>24</v>
      </c>
      <c r="G13" s="55" t="s">
        <v>25</v>
      </c>
      <c r="H13" s="55"/>
      <c r="I13" s="55" t="s">
        <v>166</v>
      </c>
      <c r="J13" s="55"/>
      <c r="K13" s="55"/>
      <c r="L13" s="55"/>
      <c r="M13" s="55"/>
      <c r="N13" s="55" t="s">
        <v>26</v>
      </c>
      <c r="O13" s="55"/>
      <c r="P13" s="55" t="s">
        <v>88</v>
      </c>
      <c r="Q13" s="55" t="s">
        <v>27</v>
      </c>
      <c r="R13" s="26"/>
    </row>
    <row r="14" spans="1:18" s="14" customFormat="1" ht="27.75" customHeight="1" x14ac:dyDescent="0.25">
      <c r="A14" s="25"/>
      <c r="B14" s="55"/>
      <c r="C14" s="55"/>
      <c r="D14" s="55"/>
      <c r="E14" s="55"/>
      <c r="F14" s="66"/>
      <c r="G14" s="55"/>
      <c r="H14" s="55"/>
      <c r="I14" s="17" t="s">
        <v>28</v>
      </c>
      <c r="J14" s="17" t="s">
        <v>29</v>
      </c>
      <c r="K14" s="17" t="s">
        <v>30</v>
      </c>
      <c r="L14" s="17" t="s">
        <v>31</v>
      </c>
      <c r="M14" s="18" t="s">
        <v>32</v>
      </c>
      <c r="N14" s="17" t="s">
        <v>33</v>
      </c>
      <c r="O14" s="17" t="s">
        <v>34</v>
      </c>
      <c r="P14" s="55"/>
      <c r="Q14" s="55"/>
      <c r="R14" s="26"/>
    </row>
    <row r="15" spans="1:18" s="5" customFormat="1" ht="29.25" customHeight="1" x14ac:dyDescent="0.25">
      <c r="A15" s="27"/>
      <c r="B15" s="7">
        <v>1</v>
      </c>
      <c r="C15" s="51" t="s">
        <v>35</v>
      </c>
      <c r="D15" s="51"/>
      <c r="E15" s="7" t="s">
        <v>36</v>
      </c>
      <c r="F15" s="8" t="s">
        <v>51</v>
      </c>
      <c r="G15" s="52" t="s">
        <v>38</v>
      </c>
      <c r="H15" s="52"/>
      <c r="I15" s="19">
        <v>1.1200000000000001</v>
      </c>
      <c r="J15" s="19">
        <f t="shared" ref="J15:K20" si="0">I15+0.03</f>
        <v>1.1500000000000001</v>
      </c>
      <c r="K15" s="19">
        <f t="shared" si="0"/>
        <v>1.1800000000000002</v>
      </c>
      <c r="L15" s="20">
        <f t="shared" ref="L15:L27" si="1">K15+0.1</f>
        <v>1.2800000000000002</v>
      </c>
      <c r="M15" s="9" t="s">
        <v>37</v>
      </c>
      <c r="N15" s="10" t="s">
        <v>55</v>
      </c>
      <c r="O15" s="10" t="s">
        <v>64</v>
      </c>
      <c r="P15" s="11" t="s">
        <v>44</v>
      </c>
      <c r="Q15" s="8"/>
      <c r="R15" s="28"/>
    </row>
    <row r="16" spans="1:18" ht="29.25" customHeight="1" x14ac:dyDescent="0.25">
      <c r="A16" s="21"/>
      <c r="B16" s="7">
        <v>2</v>
      </c>
      <c r="C16" s="51" t="s">
        <v>35</v>
      </c>
      <c r="D16" s="51"/>
      <c r="E16" s="7" t="s">
        <v>36</v>
      </c>
      <c r="F16" s="8" t="s">
        <v>86</v>
      </c>
      <c r="G16" s="52" t="s">
        <v>38</v>
      </c>
      <c r="H16" s="52"/>
      <c r="I16" s="19">
        <v>1.32</v>
      </c>
      <c r="J16" s="19">
        <f t="shared" si="0"/>
        <v>1.35</v>
      </c>
      <c r="K16" s="19">
        <f t="shared" si="0"/>
        <v>1.3800000000000001</v>
      </c>
      <c r="L16" s="20">
        <f t="shared" si="1"/>
        <v>1.4800000000000002</v>
      </c>
      <c r="M16" s="9" t="s">
        <v>37</v>
      </c>
      <c r="N16" s="10" t="s">
        <v>55</v>
      </c>
      <c r="O16" s="10" t="s">
        <v>64</v>
      </c>
      <c r="P16" s="11" t="s">
        <v>44</v>
      </c>
      <c r="Q16" s="8"/>
      <c r="R16" s="22"/>
    </row>
    <row r="17" spans="1:18" ht="29.25" customHeight="1" x14ac:dyDescent="0.25">
      <c r="A17" s="21"/>
      <c r="B17" s="7">
        <v>3</v>
      </c>
      <c r="C17" s="51" t="s">
        <v>35</v>
      </c>
      <c r="D17" s="51"/>
      <c r="E17" s="7" t="s">
        <v>36</v>
      </c>
      <c r="F17" s="8" t="s">
        <v>73</v>
      </c>
      <c r="G17" s="52" t="s">
        <v>38</v>
      </c>
      <c r="H17" s="52"/>
      <c r="I17" s="19">
        <v>1.1499999999999999</v>
      </c>
      <c r="J17" s="19">
        <f t="shared" si="0"/>
        <v>1.18</v>
      </c>
      <c r="K17" s="19">
        <f>J17+0.03</f>
        <v>1.21</v>
      </c>
      <c r="L17" s="20">
        <f t="shared" si="1"/>
        <v>1.31</v>
      </c>
      <c r="M17" s="9" t="s">
        <v>37</v>
      </c>
      <c r="N17" s="10" t="s">
        <v>55</v>
      </c>
      <c r="O17" s="10" t="s">
        <v>64</v>
      </c>
      <c r="P17" s="7">
        <v>13</v>
      </c>
      <c r="Q17" s="8"/>
      <c r="R17" s="22"/>
    </row>
    <row r="18" spans="1:18" ht="29.25" customHeight="1" x14ac:dyDescent="0.25">
      <c r="A18" s="21"/>
      <c r="B18" s="7">
        <v>4</v>
      </c>
      <c r="C18" s="51" t="s">
        <v>35</v>
      </c>
      <c r="D18" s="51"/>
      <c r="E18" s="7" t="s">
        <v>36</v>
      </c>
      <c r="F18" s="8" t="s">
        <v>87</v>
      </c>
      <c r="G18" s="52" t="s">
        <v>38</v>
      </c>
      <c r="H18" s="52"/>
      <c r="I18" s="19">
        <v>1.35</v>
      </c>
      <c r="J18" s="19">
        <f t="shared" si="0"/>
        <v>1.3800000000000001</v>
      </c>
      <c r="K18" s="19">
        <f>J18+0.03</f>
        <v>1.4100000000000001</v>
      </c>
      <c r="L18" s="20">
        <f t="shared" si="1"/>
        <v>1.5100000000000002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29.25" customHeight="1" x14ac:dyDescent="0.25">
      <c r="A19" s="21"/>
      <c r="B19" s="7">
        <v>5</v>
      </c>
      <c r="C19" s="51" t="s">
        <v>35</v>
      </c>
      <c r="D19" s="51"/>
      <c r="E19" s="7" t="s">
        <v>36</v>
      </c>
      <c r="F19" s="8" t="s">
        <v>70</v>
      </c>
      <c r="G19" s="52" t="s">
        <v>38</v>
      </c>
      <c r="H19" s="52"/>
      <c r="I19" s="19">
        <v>1.1200000000000001</v>
      </c>
      <c r="J19" s="19">
        <f t="shared" si="0"/>
        <v>1.1500000000000001</v>
      </c>
      <c r="K19" s="19">
        <f>J19+0.03</f>
        <v>1.1800000000000002</v>
      </c>
      <c r="L19" s="20">
        <f t="shared" si="1"/>
        <v>1.2800000000000002</v>
      </c>
      <c r="M19" s="9" t="s">
        <v>37</v>
      </c>
      <c r="N19" s="10" t="s">
        <v>55</v>
      </c>
      <c r="O19" s="10" t="s">
        <v>64</v>
      </c>
      <c r="P19" s="11" t="s">
        <v>44</v>
      </c>
      <c r="Q19" s="8"/>
      <c r="R19" s="22"/>
    </row>
    <row r="20" spans="1:18" ht="29.25" customHeight="1" x14ac:dyDescent="0.25">
      <c r="A20" s="21"/>
      <c r="B20" s="7">
        <v>6</v>
      </c>
      <c r="C20" s="51" t="s">
        <v>35</v>
      </c>
      <c r="D20" s="51"/>
      <c r="E20" s="7" t="s">
        <v>36</v>
      </c>
      <c r="F20" s="8" t="s">
        <v>68</v>
      </c>
      <c r="G20" s="52" t="s">
        <v>38</v>
      </c>
      <c r="H20" s="52"/>
      <c r="I20" s="19">
        <v>1.1499999999999999</v>
      </c>
      <c r="J20" s="19">
        <f t="shared" si="0"/>
        <v>1.18</v>
      </c>
      <c r="K20" s="19">
        <f t="shared" si="0"/>
        <v>1.21</v>
      </c>
      <c r="L20" s="20">
        <f t="shared" si="1"/>
        <v>1.31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29.25" customHeight="1" x14ac:dyDescent="0.25">
      <c r="A21" s="21"/>
      <c r="B21" s="7">
        <v>7</v>
      </c>
      <c r="C21" s="51" t="s">
        <v>35</v>
      </c>
      <c r="D21" s="51"/>
      <c r="E21" s="7" t="s">
        <v>36</v>
      </c>
      <c r="F21" s="8" t="s">
        <v>69</v>
      </c>
      <c r="G21" s="52" t="s">
        <v>38</v>
      </c>
      <c r="H21" s="52"/>
      <c r="I21" s="19">
        <v>1.37</v>
      </c>
      <c r="J21" s="19">
        <f>I21+0.03</f>
        <v>1.4000000000000001</v>
      </c>
      <c r="K21" s="19">
        <f>J21+0.03</f>
        <v>1.4300000000000002</v>
      </c>
      <c r="L21" s="20">
        <f>K21+0.1</f>
        <v>1.5300000000000002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8"/>
      <c r="R21" s="22"/>
    </row>
    <row r="22" spans="1:18" ht="29.25" customHeight="1" x14ac:dyDescent="0.25">
      <c r="A22" s="21"/>
      <c r="B22" s="7">
        <v>8</v>
      </c>
      <c r="C22" s="51" t="s">
        <v>35</v>
      </c>
      <c r="D22" s="51"/>
      <c r="E22" s="7" t="s">
        <v>36</v>
      </c>
      <c r="F22" s="8" t="s">
        <v>63</v>
      </c>
      <c r="G22" s="52" t="s">
        <v>38</v>
      </c>
      <c r="H22" s="52"/>
      <c r="I22" s="19">
        <v>1.5</v>
      </c>
      <c r="J22" s="19">
        <v>1.5</v>
      </c>
      <c r="K22" s="19">
        <v>1.5</v>
      </c>
      <c r="L22" s="20">
        <f>K22+0.1</f>
        <v>1.6</v>
      </c>
      <c r="M22" s="9" t="s">
        <v>37</v>
      </c>
      <c r="N22" s="10" t="s">
        <v>55</v>
      </c>
      <c r="O22" s="10" t="s">
        <v>64</v>
      </c>
      <c r="P22" s="7">
        <v>13</v>
      </c>
      <c r="Q22" s="8"/>
      <c r="R22" s="22"/>
    </row>
    <row r="23" spans="1:18" ht="29.25" customHeight="1" x14ac:dyDescent="0.25">
      <c r="A23" s="21"/>
      <c r="B23" s="7">
        <v>9</v>
      </c>
      <c r="C23" s="51" t="s">
        <v>35</v>
      </c>
      <c r="D23" s="51"/>
      <c r="E23" s="7" t="s">
        <v>36</v>
      </c>
      <c r="F23" s="8" t="s">
        <v>74</v>
      </c>
      <c r="G23" s="52" t="s">
        <v>38</v>
      </c>
      <c r="H23" s="52"/>
      <c r="I23" s="19">
        <v>1.6</v>
      </c>
      <c r="J23" s="19">
        <v>1.6</v>
      </c>
      <c r="K23" s="20">
        <v>1.6</v>
      </c>
      <c r="L23" s="20">
        <f t="shared" si="1"/>
        <v>1.7000000000000002</v>
      </c>
      <c r="M23" s="9" t="s">
        <v>37</v>
      </c>
      <c r="N23" s="10" t="s">
        <v>55</v>
      </c>
      <c r="O23" s="10" t="s">
        <v>64</v>
      </c>
      <c r="P23" s="7">
        <v>13</v>
      </c>
      <c r="Q23" s="7"/>
      <c r="R23" s="22"/>
    </row>
    <row r="24" spans="1:18" ht="29.25" customHeight="1" x14ac:dyDescent="0.25">
      <c r="A24" s="21"/>
      <c r="B24" s="7">
        <v>10</v>
      </c>
      <c r="C24" s="51" t="s">
        <v>35</v>
      </c>
      <c r="D24" s="51"/>
      <c r="E24" s="8" t="s">
        <v>65</v>
      </c>
      <c r="F24" s="8" t="s">
        <v>66</v>
      </c>
      <c r="G24" s="52" t="s">
        <v>38</v>
      </c>
      <c r="H24" s="52"/>
      <c r="I24" s="19">
        <v>1.63</v>
      </c>
      <c r="J24" s="19">
        <v>1.63</v>
      </c>
      <c r="K24" s="19">
        <v>1.63</v>
      </c>
      <c r="L24" s="20">
        <f t="shared" si="1"/>
        <v>1.73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29.25" customHeight="1" x14ac:dyDescent="0.25">
      <c r="A25" s="21"/>
      <c r="B25" s="7">
        <v>11</v>
      </c>
      <c r="C25" s="51" t="s">
        <v>35</v>
      </c>
      <c r="D25" s="51"/>
      <c r="E25" s="7" t="s">
        <v>36</v>
      </c>
      <c r="F25" s="8" t="s">
        <v>80</v>
      </c>
      <c r="G25" s="52" t="s">
        <v>38</v>
      </c>
      <c r="H25" s="52"/>
      <c r="I25" s="19">
        <v>1.91</v>
      </c>
      <c r="J25" s="19">
        <v>1.91</v>
      </c>
      <c r="K25" s="19">
        <v>1.91</v>
      </c>
      <c r="L25" s="20">
        <f t="shared" si="1"/>
        <v>2.0099999999999998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29.25" customHeight="1" x14ac:dyDescent="0.25">
      <c r="A26" s="21"/>
      <c r="B26" s="7">
        <v>12</v>
      </c>
      <c r="C26" s="51" t="s">
        <v>35</v>
      </c>
      <c r="D26" s="51"/>
      <c r="E26" s="7" t="s">
        <v>36</v>
      </c>
      <c r="F26" s="8" t="s">
        <v>81</v>
      </c>
      <c r="G26" s="52" t="s">
        <v>38</v>
      </c>
      <c r="H26" s="52"/>
      <c r="I26" s="19">
        <v>1.8</v>
      </c>
      <c r="J26" s="19">
        <v>1.8</v>
      </c>
      <c r="K26" s="19">
        <v>1.8</v>
      </c>
      <c r="L26" s="20">
        <f t="shared" si="1"/>
        <v>1.9000000000000001</v>
      </c>
      <c r="M26" s="9" t="s">
        <v>37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29.25" customHeight="1" x14ac:dyDescent="0.25">
      <c r="A27" s="21"/>
      <c r="B27" s="7">
        <v>13</v>
      </c>
      <c r="C27" s="51" t="s">
        <v>35</v>
      </c>
      <c r="D27" s="51"/>
      <c r="E27" s="7" t="s">
        <v>36</v>
      </c>
      <c r="F27" s="8" t="s">
        <v>83</v>
      </c>
      <c r="G27" s="52" t="s">
        <v>38</v>
      </c>
      <c r="H27" s="52"/>
      <c r="I27" s="19">
        <v>1.62</v>
      </c>
      <c r="J27" s="19">
        <v>1.62</v>
      </c>
      <c r="K27" s="19">
        <v>1.62</v>
      </c>
      <c r="L27" s="20">
        <f t="shared" si="1"/>
        <v>1.7200000000000002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29.25" customHeight="1" x14ac:dyDescent="0.25">
      <c r="A28" s="21"/>
      <c r="B28" s="7">
        <v>14</v>
      </c>
      <c r="C28" s="51" t="s">
        <v>35</v>
      </c>
      <c r="D28" s="51"/>
      <c r="E28" s="7" t="s">
        <v>36</v>
      </c>
      <c r="F28" s="8" t="s">
        <v>124</v>
      </c>
      <c r="G28" s="52" t="s">
        <v>38</v>
      </c>
      <c r="H28" s="52"/>
      <c r="I28" s="19">
        <v>1.84</v>
      </c>
      <c r="J28" s="19">
        <v>1.84</v>
      </c>
      <c r="K28" s="19">
        <v>1.84</v>
      </c>
      <c r="L28" s="20" t="s">
        <v>125</v>
      </c>
      <c r="M28" s="9" t="s">
        <v>125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29.25" customHeight="1" x14ac:dyDescent="0.25">
      <c r="A29" s="21"/>
      <c r="B29" s="7">
        <v>15</v>
      </c>
      <c r="C29" s="51" t="s">
        <v>90</v>
      </c>
      <c r="D29" s="51"/>
      <c r="E29" s="7" t="s">
        <v>132</v>
      </c>
      <c r="F29" s="8" t="s">
        <v>91</v>
      </c>
      <c r="G29" s="52" t="s">
        <v>38</v>
      </c>
      <c r="H29" s="52"/>
      <c r="I29" s="19">
        <v>1.22</v>
      </c>
      <c r="J29" s="19">
        <v>1.22</v>
      </c>
      <c r="K29" s="19">
        <v>1.22</v>
      </c>
      <c r="L29" s="20">
        <f t="shared" ref="L29:L31" si="2">K29+0.1</f>
        <v>1.32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ht="29.25" customHeight="1" x14ac:dyDescent="0.25">
      <c r="A30" s="21"/>
      <c r="B30" s="7">
        <v>16</v>
      </c>
      <c r="C30" s="51" t="s">
        <v>90</v>
      </c>
      <c r="D30" s="51"/>
      <c r="E30" s="7" t="s">
        <v>132</v>
      </c>
      <c r="F30" s="8" t="s">
        <v>115</v>
      </c>
      <c r="G30" s="52" t="s">
        <v>38</v>
      </c>
      <c r="H30" s="52"/>
      <c r="I30" s="19">
        <v>1.3</v>
      </c>
      <c r="J30" s="19">
        <v>1.3</v>
      </c>
      <c r="K30" s="19">
        <v>1.3</v>
      </c>
      <c r="L30" s="20">
        <f t="shared" si="2"/>
        <v>1.4000000000000001</v>
      </c>
      <c r="M30" s="9" t="s">
        <v>37</v>
      </c>
      <c r="N30" s="10" t="s">
        <v>55</v>
      </c>
      <c r="O30" s="10" t="s">
        <v>64</v>
      </c>
      <c r="P30" s="11" t="s">
        <v>44</v>
      </c>
      <c r="Q30" s="8"/>
      <c r="R30" s="22"/>
    </row>
    <row r="31" spans="1:18" ht="29.25" customHeight="1" x14ac:dyDescent="0.25">
      <c r="A31" s="21"/>
      <c r="B31" s="7">
        <v>17</v>
      </c>
      <c r="C31" s="51" t="s">
        <v>90</v>
      </c>
      <c r="D31" s="51"/>
      <c r="E31" s="7" t="s">
        <v>132</v>
      </c>
      <c r="F31" s="8" t="s">
        <v>114</v>
      </c>
      <c r="G31" s="52" t="s">
        <v>38</v>
      </c>
      <c r="H31" s="52"/>
      <c r="I31" s="19">
        <v>1.78</v>
      </c>
      <c r="J31" s="19">
        <v>1.78</v>
      </c>
      <c r="K31" s="19">
        <v>1.78</v>
      </c>
      <c r="L31" s="20">
        <f t="shared" si="2"/>
        <v>1.8800000000000001</v>
      </c>
      <c r="M31" s="9" t="s">
        <v>37</v>
      </c>
      <c r="N31" s="10" t="s">
        <v>55</v>
      </c>
      <c r="O31" s="10" t="s">
        <v>64</v>
      </c>
      <c r="P31" s="11" t="s">
        <v>44</v>
      </c>
      <c r="Q31" s="8"/>
      <c r="R31" s="22"/>
    </row>
    <row r="32" spans="1:18" x14ac:dyDescent="0.25">
      <c r="A32" s="21"/>
      <c r="B32" s="53" t="s">
        <v>39</v>
      </c>
      <c r="C32" s="5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2"/>
    </row>
    <row r="33" spans="1:18" x14ac:dyDescent="0.25">
      <c r="A33" s="21"/>
      <c r="C33" t="s">
        <v>133</v>
      </c>
      <c r="R33" s="22"/>
    </row>
    <row r="34" spans="1:18" x14ac:dyDescent="0.25">
      <c r="A34" s="21"/>
      <c r="C34" t="s">
        <v>89</v>
      </c>
      <c r="R34" s="22"/>
    </row>
    <row r="35" spans="1:18" x14ac:dyDescent="0.25">
      <c r="A35" s="21"/>
      <c r="C35" t="s">
        <v>93</v>
      </c>
      <c r="R35" s="22"/>
    </row>
    <row r="36" spans="1:18" x14ac:dyDescent="0.25">
      <c r="A36" s="21"/>
      <c r="C36" t="s">
        <v>113</v>
      </c>
      <c r="R36" s="22"/>
    </row>
    <row r="37" spans="1:18" x14ac:dyDescent="0.25">
      <c r="A37" s="21"/>
      <c r="C37" t="s">
        <v>95</v>
      </c>
      <c r="R37" s="22"/>
    </row>
    <row r="38" spans="1:18" x14ac:dyDescent="0.25">
      <c r="A38" s="21"/>
      <c r="C38" t="s">
        <v>96</v>
      </c>
      <c r="R38" s="22"/>
    </row>
    <row r="39" spans="1:18" x14ac:dyDescent="0.25">
      <c r="A39" s="21"/>
      <c r="C39" t="s">
        <v>107</v>
      </c>
      <c r="R39" s="22"/>
    </row>
    <row r="40" spans="1:18" x14ac:dyDescent="0.25">
      <c r="A40" s="21"/>
      <c r="C40" t="s">
        <v>108</v>
      </c>
      <c r="R40" s="22"/>
    </row>
    <row r="41" spans="1:18" x14ac:dyDescent="0.25">
      <c r="A41" s="21"/>
      <c r="C41" t="s">
        <v>98</v>
      </c>
      <c r="R41" s="22"/>
    </row>
    <row r="42" spans="1:18" x14ac:dyDescent="0.25">
      <c r="A42" s="21"/>
      <c r="C42" s="45" t="s">
        <v>106</v>
      </c>
      <c r="R42" s="22"/>
    </row>
    <row r="43" spans="1:18" x14ac:dyDescent="0.25">
      <c r="A43" s="34"/>
      <c r="B43" s="13"/>
      <c r="C43" s="13" t="s">
        <v>105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35"/>
    </row>
    <row r="44" spans="1:18" x14ac:dyDescent="0.25">
      <c r="A44" s="21"/>
      <c r="C44" t="s">
        <v>40</v>
      </c>
      <c r="F44" t="s">
        <v>41</v>
      </c>
      <c r="I44" t="s">
        <v>42</v>
      </c>
      <c r="O44" t="s">
        <v>43</v>
      </c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x14ac:dyDescent="0.25">
      <c r="A49" s="21"/>
      <c r="R49" s="22"/>
    </row>
    <row r="50" spans="1:18" x14ac:dyDescent="0.25">
      <c r="A50" s="21"/>
      <c r="R50" s="22"/>
    </row>
    <row r="51" spans="1:18" ht="15.75" thickBot="1" x14ac:dyDescent="0.3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1"/>
    </row>
  </sheetData>
  <mergeCells count="50">
    <mergeCell ref="M11:N11"/>
    <mergeCell ref="A1:R1"/>
    <mergeCell ref="A2:R2"/>
    <mergeCell ref="A3:R3"/>
    <mergeCell ref="A4:R4"/>
    <mergeCell ref="M8:N8"/>
    <mergeCell ref="C16:D16"/>
    <mergeCell ref="G16:H16"/>
    <mergeCell ref="B13:B14"/>
    <mergeCell ref="C13:D14"/>
    <mergeCell ref="E13:E14"/>
    <mergeCell ref="F13:F14"/>
    <mergeCell ref="G13:H14"/>
    <mergeCell ref="N13:O13"/>
    <mergeCell ref="P13:P14"/>
    <mergeCell ref="Q13:Q14"/>
    <mergeCell ref="C15:D15"/>
    <mergeCell ref="G15:H15"/>
    <mergeCell ref="I13:M13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7:D27"/>
    <mergeCell ref="G27:H27"/>
    <mergeCell ref="C28:D28"/>
    <mergeCell ref="G28:H28"/>
    <mergeCell ref="B32:C32"/>
    <mergeCell ref="C29:D29"/>
    <mergeCell ref="G29:H29"/>
    <mergeCell ref="C30:D30"/>
    <mergeCell ref="G30:H30"/>
    <mergeCell ref="C31:D31"/>
    <mergeCell ref="G31:H31"/>
  </mergeCells>
  <printOptions horizontalCentered="1"/>
  <pageMargins left="0.23" right="0.17" top="0.3" bottom="0" header="0.18" footer="0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37E4-FBB2-44BF-B0C9-7953ACE06681}">
  <sheetPr>
    <pageSetUpPr fitToPage="1"/>
  </sheetPr>
  <dimension ref="A1:R49"/>
  <sheetViews>
    <sheetView topLeftCell="A14" zoomScale="85" zoomScaleNormal="85" workbookViewId="0">
      <selection activeCell="E37" sqref="E37"/>
    </sheetView>
  </sheetViews>
  <sheetFormatPr defaultRowHeight="15" x14ac:dyDescent="0.25"/>
  <cols>
    <col min="1" max="1" width="6.85546875" customWidth="1"/>
    <col min="2" max="2" width="4.140625" bestFit="1" customWidth="1"/>
    <col min="3" max="3" width="25.28515625" customWidth="1"/>
    <col min="4" max="4" width="1.7109375" customWidth="1"/>
    <col min="5" max="5" width="24.140625" customWidth="1"/>
    <col min="6" max="6" width="44.7109375" customWidth="1"/>
    <col min="7" max="7" width="5" customWidth="1"/>
    <col min="8" max="8" width="17.5703125" customWidth="1"/>
    <col min="9" max="12" width="10.7109375" customWidth="1"/>
    <col min="13" max="13" width="16.140625" customWidth="1"/>
    <col min="14" max="14" width="11" customWidth="1"/>
    <col min="15" max="15" width="13" customWidth="1"/>
    <col min="16" max="16" width="10.140625" customWidth="1"/>
    <col min="17" max="17" width="12.85546875" customWidth="1"/>
    <col min="18" max="18" width="7.85546875" customWidth="1"/>
  </cols>
  <sheetData>
    <row r="1" spans="1:18" s="33" customFormat="1" ht="46.5" x14ac:dyDescent="0.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</row>
    <row r="2" spans="1:18" ht="15.75" x14ac:dyDescent="0.25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1:18" ht="15.75" x14ac:dyDescent="0.25">
      <c r="A3" s="60" t="s">
        <v>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</row>
    <row r="4" spans="1:18" s="15" customFormat="1" ht="16.5" thickBot="1" x14ac:dyDescent="0.3">
      <c r="A4" s="63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8" ht="9" customHeight="1" thickTop="1" x14ac:dyDescent="0.25">
      <c r="A5" s="21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22"/>
    </row>
    <row r="6" spans="1:18" s="6" customFormat="1" ht="15.75" x14ac:dyDescent="0.25">
      <c r="A6" s="23"/>
      <c r="C6" s="6" t="s">
        <v>4</v>
      </c>
      <c r="D6" s="6" t="s">
        <v>5</v>
      </c>
      <c r="E6" s="6" t="s">
        <v>160</v>
      </c>
      <c r="H6" s="6" t="s">
        <v>6</v>
      </c>
      <c r="J6" s="6" t="s">
        <v>163</v>
      </c>
      <c r="K6" s="36"/>
      <c r="R6" s="24"/>
    </row>
    <row r="7" spans="1:18" s="6" customFormat="1" ht="15.75" x14ac:dyDescent="0.25">
      <c r="A7" s="23"/>
      <c r="C7" s="6" t="s">
        <v>8</v>
      </c>
      <c r="D7" s="6" t="s">
        <v>5</v>
      </c>
      <c r="E7" s="6" t="s">
        <v>161</v>
      </c>
      <c r="H7" s="6" t="s">
        <v>9</v>
      </c>
      <c r="J7" s="6" t="s">
        <v>10</v>
      </c>
      <c r="K7" s="36"/>
      <c r="R7" s="24"/>
    </row>
    <row r="8" spans="1:18" s="6" customFormat="1" ht="15.75" x14ac:dyDescent="0.25">
      <c r="A8" s="23"/>
      <c r="C8" s="6" t="s">
        <v>11</v>
      </c>
      <c r="D8" s="6" t="s">
        <v>5</v>
      </c>
      <c r="E8" s="6" t="s">
        <v>12</v>
      </c>
      <c r="H8" s="6" t="s">
        <v>13</v>
      </c>
      <c r="J8" s="6" t="s">
        <v>130</v>
      </c>
      <c r="K8" s="36"/>
      <c r="M8" s="54" t="s">
        <v>15</v>
      </c>
      <c r="N8" s="54"/>
      <c r="O8" s="6" t="s">
        <v>164</v>
      </c>
      <c r="R8" s="24"/>
    </row>
    <row r="9" spans="1:18" s="6" customFormat="1" ht="15.75" hidden="1" x14ac:dyDescent="0.25">
      <c r="A9" s="23"/>
      <c r="E9" s="6" t="s">
        <v>127</v>
      </c>
      <c r="K9" s="36"/>
      <c r="M9" s="37"/>
      <c r="N9" s="37"/>
      <c r="R9" s="24"/>
    </row>
    <row r="10" spans="1:18" s="6" customFormat="1" ht="15.75" hidden="1" x14ac:dyDescent="0.25">
      <c r="A10" s="23"/>
      <c r="E10" s="6" t="s">
        <v>128</v>
      </c>
      <c r="K10" s="36"/>
      <c r="M10" s="37"/>
      <c r="N10" s="37"/>
      <c r="R10" s="24"/>
    </row>
    <row r="11" spans="1:18" s="6" customFormat="1" ht="15.75" x14ac:dyDescent="0.25">
      <c r="A11" s="23"/>
      <c r="C11" s="6" t="s">
        <v>16</v>
      </c>
      <c r="D11" s="6" t="s">
        <v>5</v>
      </c>
      <c r="E11" s="6" t="s">
        <v>162</v>
      </c>
      <c r="H11" s="6" t="s">
        <v>17</v>
      </c>
      <c r="J11" s="6" t="s">
        <v>130</v>
      </c>
      <c r="K11" s="36"/>
      <c r="M11" s="56" t="s">
        <v>19</v>
      </c>
      <c r="N11" s="56"/>
      <c r="O11" s="6" t="s">
        <v>20</v>
      </c>
      <c r="R11" s="24"/>
    </row>
    <row r="12" spans="1:18" s="6" customFormat="1" ht="6.75" customHeight="1" x14ac:dyDescent="0.25">
      <c r="A12" s="23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24"/>
    </row>
    <row r="13" spans="1:18" s="14" customFormat="1" ht="15.75" x14ac:dyDescent="0.25">
      <c r="A13" s="25"/>
      <c r="B13" s="55" t="s">
        <v>21</v>
      </c>
      <c r="C13" s="55" t="s">
        <v>22</v>
      </c>
      <c r="D13" s="55"/>
      <c r="E13" s="55" t="s">
        <v>23</v>
      </c>
      <c r="F13" s="66" t="s">
        <v>24</v>
      </c>
      <c r="G13" s="55" t="s">
        <v>25</v>
      </c>
      <c r="H13" s="55"/>
      <c r="I13" s="55" t="s">
        <v>92</v>
      </c>
      <c r="J13" s="55"/>
      <c r="K13" s="55"/>
      <c r="L13" s="55"/>
      <c r="M13" s="55"/>
      <c r="N13" s="55" t="s">
        <v>26</v>
      </c>
      <c r="O13" s="55"/>
      <c r="P13" s="55" t="s">
        <v>88</v>
      </c>
      <c r="Q13" s="55" t="s">
        <v>27</v>
      </c>
      <c r="R13" s="26"/>
    </row>
    <row r="14" spans="1:18" s="14" customFormat="1" ht="27.75" customHeight="1" x14ac:dyDescent="0.25">
      <c r="A14" s="25"/>
      <c r="B14" s="55"/>
      <c r="C14" s="55"/>
      <c r="D14" s="55"/>
      <c r="E14" s="55"/>
      <c r="F14" s="66"/>
      <c r="G14" s="55"/>
      <c r="H14" s="55"/>
      <c r="I14" s="17" t="s">
        <v>28</v>
      </c>
      <c r="J14" s="17" t="s">
        <v>29</v>
      </c>
      <c r="K14" s="17" t="s">
        <v>30</v>
      </c>
      <c r="L14" s="17" t="s">
        <v>31</v>
      </c>
      <c r="M14" s="18" t="s">
        <v>32</v>
      </c>
      <c r="N14" s="17" t="s">
        <v>33</v>
      </c>
      <c r="O14" s="17" t="s">
        <v>34</v>
      </c>
      <c r="P14" s="55"/>
      <c r="Q14" s="55"/>
      <c r="R14" s="26"/>
    </row>
    <row r="15" spans="1:18" s="5" customFormat="1" ht="29.25" customHeight="1" x14ac:dyDescent="0.25">
      <c r="A15" s="27"/>
      <c r="B15" s="7">
        <v>1</v>
      </c>
      <c r="C15" s="51" t="s">
        <v>35</v>
      </c>
      <c r="D15" s="51"/>
      <c r="E15" s="7" t="s">
        <v>36</v>
      </c>
      <c r="F15" s="8" t="s">
        <v>51</v>
      </c>
      <c r="G15" s="52" t="s">
        <v>38</v>
      </c>
      <c r="H15" s="52"/>
      <c r="I15" s="19">
        <v>1.1200000000000001</v>
      </c>
      <c r="J15" s="19">
        <f t="shared" ref="J15:K20" si="0">I15+0.03</f>
        <v>1.1500000000000001</v>
      </c>
      <c r="K15" s="19">
        <f t="shared" si="0"/>
        <v>1.1800000000000002</v>
      </c>
      <c r="L15" s="20">
        <f t="shared" ref="L15:L27" si="1">K15+0.1</f>
        <v>1.2800000000000002</v>
      </c>
      <c r="M15" s="9" t="s">
        <v>37</v>
      </c>
      <c r="N15" s="10" t="s">
        <v>55</v>
      </c>
      <c r="O15" s="10" t="s">
        <v>64</v>
      </c>
      <c r="P15" s="11" t="s">
        <v>44</v>
      </c>
      <c r="Q15" s="8"/>
      <c r="R15" s="28"/>
    </row>
    <row r="16" spans="1:18" ht="29.25" customHeight="1" x14ac:dyDescent="0.25">
      <c r="A16" s="21"/>
      <c r="B16" s="7">
        <v>2</v>
      </c>
      <c r="C16" s="51" t="s">
        <v>35</v>
      </c>
      <c r="D16" s="51"/>
      <c r="E16" s="7" t="s">
        <v>36</v>
      </c>
      <c r="F16" s="8" t="s">
        <v>86</v>
      </c>
      <c r="G16" s="52" t="s">
        <v>38</v>
      </c>
      <c r="H16" s="52"/>
      <c r="I16" s="19">
        <v>1.32</v>
      </c>
      <c r="J16" s="19">
        <f t="shared" si="0"/>
        <v>1.35</v>
      </c>
      <c r="K16" s="19">
        <f t="shared" si="0"/>
        <v>1.3800000000000001</v>
      </c>
      <c r="L16" s="20">
        <f t="shared" si="1"/>
        <v>1.4800000000000002</v>
      </c>
      <c r="M16" s="9" t="s">
        <v>37</v>
      </c>
      <c r="N16" s="10" t="s">
        <v>55</v>
      </c>
      <c r="O16" s="10" t="s">
        <v>64</v>
      </c>
      <c r="P16" s="11" t="s">
        <v>44</v>
      </c>
      <c r="Q16" s="8"/>
      <c r="R16" s="22"/>
    </row>
    <row r="17" spans="1:18" ht="29.25" customHeight="1" x14ac:dyDescent="0.25">
      <c r="A17" s="21"/>
      <c r="B17" s="7">
        <v>3</v>
      </c>
      <c r="C17" s="51" t="s">
        <v>35</v>
      </c>
      <c r="D17" s="51"/>
      <c r="E17" s="7" t="s">
        <v>36</v>
      </c>
      <c r="F17" s="8" t="s">
        <v>73</v>
      </c>
      <c r="G17" s="52" t="s">
        <v>38</v>
      </c>
      <c r="H17" s="52"/>
      <c r="I17" s="19">
        <v>1.1499999999999999</v>
      </c>
      <c r="J17" s="19">
        <f t="shared" si="0"/>
        <v>1.18</v>
      </c>
      <c r="K17" s="19">
        <f>J17+0.03</f>
        <v>1.21</v>
      </c>
      <c r="L17" s="20">
        <f t="shared" si="1"/>
        <v>1.31</v>
      </c>
      <c r="M17" s="9" t="s">
        <v>37</v>
      </c>
      <c r="N17" s="10" t="s">
        <v>55</v>
      </c>
      <c r="O17" s="10" t="s">
        <v>64</v>
      </c>
      <c r="P17" s="7">
        <v>13</v>
      </c>
      <c r="Q17" s="8"/>
      <c r="R17" s="22"/>
    </row>
    <row r="18" spans="1:18" ht="29.25" customHeight="1" x14ac:dyDescent="0.25">
      <c r="A18" s="21"/>
      <c r="B18" s="7">
        <v>4</v>
      </c>
      <c r="C18" s="51" t="s">
        <v>35</v>
      </c>
      <c r="D18" s="51"/>
      <c r="E18" s="7" t="s">
        <v>36</v>
      </c>
      <c r="F18" s="8" t="s">
        <v>87</v>
      </c>
      <c r="G18" s="52" t="s">
        <v>38</v>
      </c>
      <c r="H18" s="52"/>
      <c r="I18" s="19">
        <v>1.35</v>
      </c>
      <c r="J18" s="19">
        <f t="shared" si="0"/>
        <v>1.3800000000000001</v>
      </c>
      <c r="K18" s="19">
        <f>J18+0.03</f>
        <v>1.4100000000000001</v>
      </c>
      <c r="L18" s="20">
        <f t="shared" si="1"/>
        <v>1.5100000000000002</v>
      </c>
      <c r="M18" s="9" t="s">
        <v>37</v>
      </c>
      <c r="N18" s="10" t="s">
        <v>55</v>
      </c>
      <c r="O18" s="10" t="s">
        <v>64</v>
      </c>
      <c r="P18" s="7">
        <v>13</v>
      </c>
      <c r="Q18" s="8"/>
      <c r="R18" s="22"/>
    </row>
    <row r="19" spans="1:18" ht="29.25" customHeight="1" x14ac:dyDescent="0.25">
      <c r="A19" s="21"/>
      <c r="B19" s="7">
        <v>5</v>
      </c>
      <c r="C19" s="51" t="s">
        <v>35</v>
      </c>
      <c r="D19" s="51"/>
      <c r="E19" s="7" t="s">
        <v>36</v>
      </c>
      <c r="F19" s="8" t="s">
        <v>70</v>
      </c>
      <c r="G19" s="52" t="s">
        <v>38</v>
      </c>
      <c r="H19" s="52"/>
      <c r="I19" s="19">
        <v>1.1200000000000001</v>
      </c>
      <c r="J19" s="19">
        <f t="shared" si="0"/>
        <v>1.1500000000000001</v>
      </c>
      <c r="K19" s="19">
        <f>J19+0.03</f>
        <v>1.1800000000000002</v>
      </c>
      <c r="L19" s="20">
        <f t="shared" si="1"/>
        <v>1.2800000000000002</v>
      </c>
      <c r="M19" s="9" t="s">
        <v>37</v>
      </c>
      <c r="N19" s="10" t="s">
        <v>55</v>
      </c>
      <c r="O19" s="10" t="s">
        <v>64</v>
      </c>
      <c r="P19" s="11" t="s">
        <v>44</v>
      </c>
      <c r="Q19" s="8"/>
      <c r="R19" s="22"/>
    </row>
    <row r="20" spans="1:18" ht="29.25" customHeight="1" x14ac:dyDescent="0.25">
      <c r="A20" s="21"/>
      <c r="B20" s="7">
        <v>6</v>
      </c>
      <c r="C20" s="51" t="s">
        <v>35</v>
      </c>
      <c r="D20" s="51"/>
      <c r="E20" s="7" t="s">
        <v>36</v>
      </c>
      <c r="F20" s="8" t="s">
        <v>68</v>
      </c>
      <c r="G20" s="52" t="s">
        <v>38</v>
      </c>
      <c r="H20" s="52"/>
      <c r="I20" s="19">
        <v>1.1499999999999999</v>
      </c>
      <c r="J20" s="19">
        <f t="shared" si="0"/>
        <v>1.18</v>
      </c>
      <c r="K20" s="19">
        <f t="shared" si="0"/>
        <v>1.21</v>
      </c>
      <c r="L20" s="20">
        <f t="shared" si="1"/>
        <v>1.31</v>
      </c>
      <c r="M20" s="9" t="s">
        <v>37</v>
      </c>
      <c r="N20" s="10" t="s">
        <v>55</v>
      </c>
      <c r="O20" s="10" t="s">
        <v>64</v>
      </c>
      <c r="P20" s="7">
        <v>13</v>
      </c>
      <c r="Q20" s="8"/>
      <c r="R20" s="22"/>
    </row>
    <row r="21" spans="1:18" ht="29.25" customHeight="1" x14ac:dyDescent="0.25">
      <c r="A21" s="21"/>
      <c r="B21" s="7">
        <v>7</v>
      </c>
      <c r="C21" s="51" t="s">
        <v>35</v>
      </c>
      <c r="D21" s="51"/>
      <c r="E21" s="7" t="s">
        <v>36</v>
      </c>
      <c r="F21" s="8" t="s">
        <v>69</v>
      </c>
      <c r="G21" s="52" t="s">
        <v>38</v>
      </c>
      <c r="H21" s="52"/>
      <c r="I21" s="19">
        <v>1.37</v>
      </c>
      <c r="J21" s="19">
        <f>I21+0.03</f>
        <v>1.4000000000000001</v>
      </c>
      <c r="K21" s="19">
        <f>J21+0.03</f>
        <v>1.4300000000000002</v>
      </c>
      <c r="L21" s="20">
        <f>K21+0.1</f>
        <v>1.5300000000000002</v>
      </c>
      <c r="M21" s="9" t="s">
        <v>37</v>
      </c>
      <c r="N21" s="10" t="s">
        <v>55</v>
      </c>
      <c r="O21" s="10" t="s">
        <v>64</v>
      </c>
      <c r="P21" s="7">
        <v>13</v>
      </c>
      <c r="Q21" s="8"/>
      <c r="R21" s="22"/>
    </row>
    <row r="22" spans="1:18" ht="29.25" customHeight="1" x14ac:dyDescent="0.25">
      <c r="A22" s="21"/>
      <c r="B22" s="7">
        <v>8</v>
      </c>
      <c r="C22" s="51" t="s">
        <v>35</v>
      </c>
      <c r="D22" s="51"/>
      <c r="E22" s="7" t="s">
        <v>36</v>
      </c>
      <c r="F22" s="8" t="s">
        <v>63</v>
      </c>
      <c r="G22" s="52" t="s">
        <v>38</v>
      </c>
      <c r="H22" s="52"/>
      <c r="I22" s="19">
        <v>1.5</v>
      </c>
      <c r="J22" s="19">
        <v>1.5</v>
      </c>
      <c r="K22" s="19">
        <v>1.5</v>
      </c>
      <c r="L22" s="20">
        <f>K22+0.1</f>
        <v>1.6</v>
      </c>
      <c r="M22" s="9" t="s">
        <v>37</v>
      </c>
      <c r="N22" s="10" t="s">
        <v>55</v>
      </c>
      <c r="O22" s="10" t="s">
        <v>64</v>
      </c>
      <c r="P22" s="7">
        <v>13</v>
      </c>
      <c r="Q22" s="8"/>
      <c r="R22" s="22"/>
    </row>
    <row r="23" spans="1:18" ht="29.25" customHeight="1" x14ac:dyDescent="0.25">
      <c r="A23" s="21"/>
      <c r="B23" s="7">
        <v>9</v>
      </c>
      <c r="C23" s="51" t="s">
        <v>35</v>
      </c>
      <c r="D23" s="51"/>
      <c r="E23" s="7" t="s">
        <v>36</v>
      </c>
      <c r="F23" s="8" t="s">
        <v>74</v>
      </c>
      <c r="G23" s="52" t="s">
        <v>38</v>
      </c>
      <c r="H23" s="52"/>
      <c r="I23" s="19">
        <v>1.6</v>
      </c>
      <c r="J23" s="19">
        <v>1.6</v>
      </c>
      <c r="K23" s="20">
        <v>1.6</v>
      </c>
      <c r="L23" s="20">
        <f t="shared" si="1"/>
        <v>1.7000000000000002</v>
      </c>
      <c r="M23" s="9" t="s">
        <v>37</v>
      </c>
      <c r="N23" s="10" t="s">
        <v>55</v>
      </c>
      <c r="O23" s="10" t="s">
        <v>64</v>
      </c>
      <c r="P23" s="7">
        <v>13</v>
      </c>
      <c r="Q23" s="7"/>
      <c r="R23" s="22"/>
    </row>
    <row r="24" spans="1:18" ht="29.25" customHeight="1" x14ac:dyDescent="0.25">
      <c r="A24" s="21"/>
      <c r="B24" s="7">
        <v>10</v>
      </c>
      <c r="C24" s="51" t="s">
        <v>35</v>
      </c>
      <c r="D24" s="51"/>
      <c r="E24" s="8" t="s">
        <v>65</v>
      </c>
      <c r="F24" s="8" t="s">
        <v>66</v>
      </c>
      <c r="G24" s="52" t="s">
        <v>38</v>
      </c>
      <c r="H24" s="52"/>
      <c r="I24" s="19">
        <v>1.63</v>
      </c>
      <c r="J24" s="19">
        <v>1.63</v>
      </c>
      <c r="K24" s="19">
        <v>1.63</v>
      </c>
      <c r="L24" s="20">
        <f t="shared" si="1"/>
        <v>1.73</v>
      </c>
      <c r="M24" s="9" t="s">
        <v>37</v>
      </c>
      <c r="N24" s="10" t="s">
        <v>55</v>
      </c>
      <c r="O24" s="10" t="s">
        <v>64</v>
      </c>
      <c r="P24" s="11" t="s">
        <v>44</v>
      </c>
      <c r="Q24" s="8"/>
      <c r="R24" s="22"/>
    </row>
    <row r="25" spans="1:18" ht="29.25" customHeight="1" x14ac:dyDescent="0.25">
      <c r="A25" s="21"/>
      <c r="B25" s="7">
        <v>11</v>
      </c>
      <c r="C25" s="51" t="s">
        <v>35</v>
      </c>
      <c r="D25" s="51"/>
      <c r="E25" s="7" t="s">
        <v>36</v>
      </c>
      <c r="F25" s="8" t="s">
        <v>80</v>
      </c>
      <c r="G25" s="52" t="s">
        <v>38</v>
      </c>
      <c r="H25" s="52"/>
      <c r="I25" s="19">
        <v>1.91</v>
      </c>
      <c r="J25" s="19">
        <v>1.91</v>
      </c>
      <c r="K25" s="19">
        <v>1.91</v>
      </c>
      <c r="L25" s="20">
        <f t="shared" si="1"/>
        <v>2.0099999999999998</v>
      </c>
      <c r="M25" s="9" t="s">
        <v>37</v>
      </c>
      <c r="N25" s="10" t="s">
        <v>55</v>
      </c>
      <c r="O25" s="10" t="s">
        <v>64</v>
      </c>
      <c r="P25" s="11" t="s">
        <v>44</v>
      </c>
      <c r="Q25" s="8"/>
      <c r="R25" s="22"/>
    </row>
    <row r="26" spans="1:18" ht="29.25" customHeight="1" x14ac:dyDescent="0.25">
      <c r="A26" s="21"/>
      <c r="B26" s="7">
        <v>12</v>
      </c>
      <c r="C26" s="51" t="s">
        <v>35</v>
      </c>
      <c r="D26" s="51"/>
      <c r="E26" s="7" t="s">
        <v>36</v>
      </c>
      <c r="F26" s="8" t="s">
        <v>81</v>
      </c>
      <c r="G26" s="52" t="s">
        <v>38</v>
      </c>
      <c r="H26" s="52"/>
      <c r="I26" s="19">
        <v>1.8</v>
      </c>
      <c r="J26" s="19">
        <v>1.8</v>
      </c>
      <c r="K26" s="19">
        <v>1.8</v>
      </c>
      <c r="L26" s="20">
        <f t="shared" si="1"/>
        <v>1.9000000000000001</v>
      </c>
      <c r="M26" s="9" t="s">
        <v>37</v>
      </c>
      <c r="N26" s="10" t="s">
        <v>55</v>
      </c>
      <c r="O26" s="10" t="s">
        <v>64</v>
      </c>
      <c r="P26" s="11" t="s">
        <v>44</v>
      </c>
      <c r="Q26" s="8"/>
      <c r="R26" s="22"/>
    </row>
    <row r="27" spans="1:18" ht="29.25" customHeight="1" x14ac:dyDescent="0.25">
      <c r="A27" s="21"/>
      <c r="B27" s="7">
        <v>13</v>
      </c>
      <c r="C27" s="51" t="s">
        <v>35</v>
      </c>
      <c r="D27" s="51"/>
      <c r="E27" s="7" t="s">
        <v>36</v>
      </c>
      <c r="F27" s="8" t="s">
        <v>83</v>
      </c>
      <c r="G27" s="52" t="s">
        <v>38</v>
      </c>
      <c r="H27" s="52"/>
      <c r="I27" s="19">
        <v>1.62</v>
      </c>
      <c r="J27" s="19">
        <v>1.62</v>
      </c>
      <c r="K27" s="19">
        <v>1.62</v>
      </c>
      <c r="L27" s="20">
        <f t="shared" si="1"/>
        <v>1.7200000000000002</v>
      </c>
      <c r="M27" s="9" t="s">
        <v>37</v>
      </c>
      <c r="N27" s="10" t="s">
        <v>55</v>
      </c>
      <c r="O27" s="10" t="s">
        <v>64</v>
      </c>
      <c r="P27" s="11" t="s">
        <v>44</v>
      </c>
      <c r="Q27" s="8"/>
      <c r="R27" s="22"/>
    </row>
    <row r="28" spans="1:18" ht="29.25" customHeight="1" x14ac:dyDescent="0.25">
      <c r="A28" s="21"/>
      <c r="B28" s="7">
        <v>14</v>
      </c>
      <c r="C28" s="51" t="s">
        <v>35</v>
      </c>
      <c r="D28" s="51"/>
      <c r="E28" s="7" t="s">
        <v>36</v>
      </c>
      <c r="F28" s="8" t="s">
        <v>124</v>
      </c>
      <c r="G28" s="52" t="s">
        <v>38</v>
      </c>
      <c r="H28" s="52"/>
      <c r="I28" s="19">
        <v>1.84</v>
      </c>
      <c r="J28" s="19">
        <v>1.84</v>
      </c>
      <c r="K28" s="19">
        <v>1.84</v>
      </c>
      <c r="L28" s="20" t="s">
        <v>125</v>
      </c>
      <c r="M28" s="9" t="s">
        <v>125</v>
      </c>
      <c r="N28" s="10" t="s">
        <v>55</v>
      </c>
      <c r="O28" s="10" t="s">
        <v>64</v>
      </c>
      <c r="P28" s="11" t="s">
        <v>44</v>
      </c>
      <c r="Q28" s="8"/>
      <c r="R28" s="22"/>
    </row>
    <row r="29" spans="1:18" ht="29.25" customHeight="1" x14ac:dyDescent="0.25">
      <c r="A29" s="21"/>
      <c r="B29" s="7">
        <v>15</v>
      </c>
      <c r="C29" s="51" t="s">
        <v>90</v>
      </c>
      <c r="D29" s="51"/>
      <c r="E29" s="7" t="s">
        <v>132</v>
      </c>
      <c r="F29" s="8" t="s">
        <v>91</v>
      </c>
      <c r="G29" s="52" t="s">
        <v>38</v>
      </c>
      <c r="H29" s="52"/>
      <c r="I29" s="19">
        <v>1.22</v>
      </c>
      <c r="J29" s="19">
        <v>1.22</v>
      </c>
      <c r="K29" s="19">
        <v>1.22</v>
      </c>
      <c r="L29" s="20">
        <f t="shared" ref="L29" si="2">K29+0.1</f>
        <v>1.32</v>
      </c>
      <c r="M29" s="9" t="s">
        <v>37</v>
      </c>
      <c r="N29" s="10" t="s">
        <v>55</v>
      </c>
      <c r="O29" s="10" t="s">
        <v>64</v>
      </c>
      <c r="P29" s="11" t="s">
        <v>44</v>
      </c>
      <c r="Q29" s="8"/>
      <c r="R29" s="22"/>
    </row>
    <row r="30" spans="1:18" x14ac:dyDescent="0.25">
      <c r="A30" s="21"/>
      <c r="B30" s="53" t="s">
        <v>39</v>
      </c>
      <c r="C30" s="5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2"/>
    </row>
    <row r="31" spans="1:18" x14ac:dyDescent="0.25">
      <c r="A31" s="21"/>
      <c r="C31" t="s">
        <v>133</v>
      </c>
      <c r="R31" s="22"/>
    </row>
    <row r="32" spans="1:18" x14ac:dyDescent="0.25">
      <c r="A32" s="21"/>
      <c r="C32" t="s">
        <v>89</v>
      </c>
      <c r="R32" s="22"/>
    </row>
    <row r="33" spans="1:18" x14ac:dyDescent="0.25">
      <c r="A33" s="21"/>
      <c r="C33" t="s">
        <v>93</v>
      </c>
      <c r="R33" s="22"/>
    </row>
    <row r="34" spans="1:18" x14ac:dyDescent="0.25">
      <c r="A34" s="21"/>
      <c r="C34" t="s">
        <v>113</v>
      </c>
      <c r="R34" s="22"/>
    </row>
    <row r="35" spans="1:18" x14ac:dyDescent="0.25">
      <c r="A35" s="21"/>
      <c r="C35" t="s">
        <v>95</v>
      </c>
      <c r="R35" s="22"/>
    </row>
    <row r="36" spans="1:18" x14ac:dyDescent="0.25">
      <c r="A36" s="21"/>
      <c r="C36" t="s">
        <v>96</v>
      </c>
      <c r="R36" s="22"/>
    </row>
    <row r="37" spans="1:18" x14ac:dyDescent="0.25">
      <c r="A37" s="21"/>
      <c r="C37" t="s">
        <v>107</v>
      </c>
      <c r="R37" s="22"/>
    </row>
    <row r="38" spans="1:18" x14ac:dyDescent="0.25">
      <c r="A38" s="21"/>
      <c r="C38" t="s">
        <v>108</v>
      </c>
      <c r="R38" s="22"/>
    </row>
    <row r="39" spans="1:18" x14ac:dyDescent="0.25">
      <c r="A39" s="21"/>
      <c r="C39" t="s">
        <v>98</v>
      </c>
      <c r="R39" s="22"/>
    </row>
    <row r="40" spans="1:18" x14ac:dyDescent="0.25">
      <c r="A40" s="21"/>
      <c r="C40" s="45" t="s">
        <v>106</v>
      </c>
      <c r="R40" s="22"/>
    </row>
    <row r="41" spans="1:18" x14ac:dyDescent="0.25">
      <c r="A41" s="34"/>
      <c r="B41" s="13"/>
      <c r="C41" s="13" t="s">
        <v>105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35"/>
    </row>
    <row r="42" spans="1:18" x14ac:dyDescent="0.25">
      <c r="A42" s="21"/>
      <c r="C42" t="s">
        <v>40</v>
      </c>
      <c r="F42" t="s">
        <v>41</v>
      </c>
      <c r="I42" t="s">
        <v>42</v>
      </c>
      <c r="O42" t="s">
        <v>43</v>
      </c>
      <c r="R42" s="22"/>
    </row>
    <row r="43" spans="1:18" x14ac:dyDescent="0.25">
      <c r="A43" s="21"/>
      <c r="R43" s="22"/>
    </row>
    <row r="44" spans="1:18" x14ac:dyDescent="0.25">
      <c r="A44" s="21"/>
      <c r="R44" s="22"/>
    </row>
    <row r="45" spans="1:18" x14ac:dyDescent="0.25">
      <c r="A45" s="21"/>
      <c r="R45" s="22"/>
    </row>
    <row r="46" spans="1:18" x14ac:dyDescent="0.25">
      <c r="A46" s="21"/>
      <c r="R46" s="22"/>
    </row>
    <row r="47" spans="1:18" x14ac:dyDescent="0.25">
      <c r="A47" s="21"/>
      <c r="R47" s="22"/>
    </row>
    <row r="48" spans="1:18" x14ac:dyDescent="0.25">
      <c r="A48" s="21"/>
      <c r="R48" s="22"/>
    </row>
    <row r="49" spans="1:18" ht="15.75" thickBot="1" x14ac:dyDescent="0.3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</row>
  </sheetData>
  <mergeCells count="46">
    <mergeCell ref="B30:C30"/>
    <mergeCell ref="C29:D29"/>
    <mergeCell ref="G29:H29"/>
    <mergeCell ref="C26:D26"/>
    <mergeCell ref="G26:H26"/>
    <mergeCell ref="C27:D27"/>
    <mergeCell ref="G27:H27"/>
    <mergeCell ref="C28:D28"/>
    <mergeCell ref="G28:H28"/>
    <mergeCell ref="C23:D23"/>
    <mergeCell ref="G23:H23"/>
    <mergeCell ref="C24:D24"/>
    <mergeCell ref="G24:H24"/>
    <mergeCell ref="C25:D25"/>
    <mergeCell ref="G25:H25"/>
    <mergeCell ref="C20:D20"/>
    <mergeCell ref="G20:H20"/>
    <mergeCell ref="C21:D21"/>
    <mergeCell ref="G21:H21"/>
    <mergeCell ref="C22:D22"/>
    <mergeCell ref="G22:H22"/>
    <mergeCell ref="C17:D17"/>
    <mergeCell ref="G17:H17"/>
    <mergeCell ref="C18:D18"/>
    <mergeCell ref="G18:H18"/>
    <mergeCell ref="C19:D19"/>
    <mergeCell ref="G19:H19"/>
    <mergeCell ref="N13:O13"/>
    <mergeCell ref="P13:P14"/>
    <mergeCell ref="Q13:Q14"/>
    <mergeCell ref="C15:D15"/>
    <mergeCell ref="G15:H15"/>
    <mergeCell ref="I13:M13"/>
    <mergeCell ref="C16:D16"/>
    <mergeCell ref="G16:H16"/>
    <mergeCell ref="B13:B14"/>
    <mergeCell ref="C13:D14"/>
    <mergeCell ref="E13:E14"/>
    <mergeCell ref="F13:F14"/>
    <mergeCell ref="G13:H14"/>
    <mergeCell ref="M11:N11"/>
    <mergeCell ref="A1:R1"/>
    <mergeCell ref="A2:R2"/>
    <mergeCell ref="A3:R3"/>
    <mergeCell ref="A4:R4"/>
    <mergeCell ref="M8:N8"/>
  </mergeCells>
  <printOptions horizontalCentered="1"/>
  <pageMargins left="0.23" right="0.17" top="0.3" bottom="0" header="0.18" footer="0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ADCI</vt:lpstr>
      <vt:lpstr>PCI</vt:lpstr>
      <vt:lpstr>PGD-I</vt:lpstr>
      <vt:lpstr>BIG</vt:lpstr>
      <vt:lpstr>PRB</vt:lpstr>
      <vt:lpstr>TSH</vt:lpstr>
      <vt:lpstr>PGS</vt:lpstr>
      <vt:lpstr>HWI</vt:lpstr>
      <vt:lpstr>HWP</vt:lpstr>
      <vt:lpstr>PWJ</vt:lpstr>
      <vt:lpstr>HARDASES</vt:lpstr>
      <vt:lpstr>PWI1</vt:lpstr>
      <vt:lpstr>PWI3</vt:lpstr>
      <vt:lpstr>ADONIA</vt:lpstr>
      <vt:lpstr>LONGRICH ADIDAS</vt:lpstr>
      <vt:lpstr>PEIHAI</vt:lpstr>
      <vt:lpstr>AROMA</vt:lpstr>
      <vt:lpstr>ADCI!Print_Area</vt:lpstr>
      <vt:lpstr>ADONIA!Print_Area</vt:lpstr>
      <vt:lpstr>AROMA!Print_Area</vt:lpstr>
      <vt:lpstr>BIG!Print_Area</vt:lpstr>
      <vt:lpstr>HARDASES!Print_Area</vt:lpstr>
      <vt:lpstr>HWI!Print_Area</vt:lpstr>
      <vt:lpstr>HWP!Print_Area</vt:lpstr>
      <vt:lpstr>'LONGRICH ADIDAS'!Print_Area</vt:lpstr>
      <vt:lpstr>PCI!Print_Area</vt:lpstr>
      <vt:lpstr>PEIHAI!Print_Area</vt:lpstr>
      <vt:lpstr>'PGD-I'!Print_Area</vt:lpstr>
      <vt:lpstr>PGS!Print_Area</vt:lpstr>
      <vt:lpstr>PRB!Print_Area</vt:lpstr>
      <vt:lpstr>'PWI1'!Print_Area</vt:lpstr>
      <vt:lpstr>'PWI3'!Print_Area</vt:lpstr>
      <vt:lpstr>PWJ!Print_Area</vt:lpstr>
      <vt:lpstr>TSH!Print_Area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Lynk Seraphika Kusumo</dc:creator>
  <cp:lastModifiedBy>BO18</cp:lastModifiedBy>
  <cp:lastPrinted>2026-02-12T00:07:56Z</cp:lastPrinted>
  <dcterms:created xsi:type="dcterms:W3CDTF">2018-06-28T07:04:28Z</dcterms:created>
  <dcterms:modified xsi:type="dcterms:W3CDTF">2026-02-12T00:26:17Z</dcterms:modified>
</cp:coreProperties>
</file>